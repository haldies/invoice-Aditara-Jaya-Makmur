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AppData\Local\Packages\5319275A.WhatsAppDesktop_cv1g1gvanyjgm\LocalState\sessions\0DD60D6C96387D38EE7502A506EC1D0FDADF74D5\transfers\2026-25\"/>
    </mc:Choice>
  </mc:AlternateContent>
  <xr:revisionPtr revIDLastSave="0" documentId="13_ncr:1_{4E4DBE14-7CD5-4FAD-89B8-760ED1DFFB62}" xr6:coauthVersionLast="47" xr6:coauthVersionMax="47" xr10:uidLastSave="{00000000-0000-0000-0000-000000000000}"/>
  <bookViews>
    <workbookView xWindow="-108" yWindow="-108" windowWidth="23256" windowHeight="13176" tabRatio="857" firstSheet="2" activeTab="2" xr2:uid="{00000000-000D-0000-FFFF-FFFF00000000}"/>
  </bookViews>
  <sheets>
    <sheet name="MALANG" sheetId="12" r:id="rId1"/>
    <sheet name="GEMPOL" sheetId="16" r:id="rId2"/>
    <sheet name="KEDIRI" sheetId="19" r:id="rId3"/>
    <sheet name="MANUKAN" sheetId="20" r:id="rId4"/>
    <sheet name="PLANT LAIN-LAIN" sheetId="21" r:id="rId5"/>
  </sheets>
  <definedNames>
    <definedName name="_xlnm._FilterDatabase" localSheetId="1" hidden="1">GEMPOL!$A$2:$Y$34</definedName>
    <definedName name="_xlnm._FilterDatabase" localSheetId="2" hidden="1">KEDIRI!$A$2:$Y$52</definedName>
    <definedName name="_xlnm._FilterDatabase" localSheetId="0" hidden="1">MALANG!$A$2:$Y$2</definedName>
    <definedName name="_xlnm._FilterDatabase" localSheetId="3" hidden="1">MANUKAN!$A$2:$Y$22</definedName>
    <definedName name="_xlnm._FilterDatabase" localSheetId="4" hidden="1">'PLANT LAIN-LAIN'!$A$2:$Y$24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19" l="1"/>
  <c r="Y15" i="19"/>
  <c r="U41" i="19"/>
  <c r="W12" i="21"/>
  <c r="G27" i="21"/>
  <c r="U13" i="21"/>
  <c r="Q13" i="21"/>
  <c r="U12" i="21"/>
  <c r="Q12" i="21"/>
  <c r="N22" i="16" l="1"/>
  <c r="O22" i="16" s="1"/>
  <c r="U3" i="12"/>
  <c r="Q49" i="19"/>
  <c r="M49" i="19"/>
  <c r="I49" i="19"/>
  <c r="J49" i="19"/>
  <c r="I7" i="20"/>
  <c r="M6" i="20"/>
  <c r="I6" i="20"/>
  <c r="M48" i="19" l="1"/>
  <c r="I48" i="19"/>
  <c r="I31" i="16"/>
  <c r="I29" i="16"/>
  <c r="I25" i="16"/>
  <c r="I22" i="16"/>
  <c r="M12" i="16"/>
  <c r="I12" i="16"/>
  <c r="M21" i="16"/>
  <c r="I21" i="16"/>
  <c r="M11" i="16"/>
  <c r="M9" i="16"/>
  <c r="M6" i="16"/>
  <c r="M5" i="16"/>
  <c r="I11" i="16"/>
  <c r="I9" i="16"/>
  <c r="I6" i="16"/>
  <c r="I5" i="16"/>
  <c r="U4" i="12"/>
  <c r="U5" i="12"/>
  <c r="U6" i="12"/>
  <c r="U7" i="12"/>
  <c r="U8" i="12"/>
  <c r="U9" i="12"/>
  <c r="U10" i="12"/>
  <c r="U11" i="12"/>
  <c r="U12" i="12"/>
  <c r="N47" i="19" l="1"/>
  <c r="O47" i="19" s="1"/>
  <c r="P47" i="19" s="1"/>
  <c r="J47" i="19"/>
  <c r="K47" i="19" s="1"/>
  <c r="L47" i="19" s="1"/>
  <c r="N46" i="19"/>
  <c r="O46" i="19" s="1"/>
  <c r="P46" i="19" s="1"/>
  <c r="J46" i="19"/>
  <c r="K46" i="19" s="1"/>
  <c r="L46" i="19" s="1"/>
  <c r="N44" i="19"/>
  <c r="O44" i="19" s="1"/>
  <c r="P44" i="19" s="1"/>
  <c r="J44" i="19"/>
  <c r="K44" i="19" s="1"/>
  <c r="L44" i="19" s="1"/>
  <c r="N43" i="19"/>
  <c r="O43" i="19" s="1"/>
  <c r="P43" i="19" s="1"/>
  <c r="J43" i="19"/>
  <c r="K43" i="19" s="1"/>
  <c r="L43" i="19" s="1"/>
  <c r="N42" i="19"/>
  <c r="O42" i="19" s="1"/>
  <c r="P42" i="19" s="1"/>
  <c r="J42" i="19"/>
  <c r="K42" i="19" s="1"/>
  <c r="L42" i="19" s="1"/>
  <c r="N40" i="19"/>
  <c r="O40" i="19" s="1"/>
  <c r="P40" i="19" s="1"/>
  <c r="J40" i="19"/>
  <c r="K40" i="19" s="1"/>
  <c r="L40" i="19" s="1"/>
  <c r="N38" i="19"/>
  <c r="O38" i="19" s="1"/>
  <c r="P38" i="19" s="1"/>
  <c r="J38" i="19"/>
  <c r="K38" i="19" s="1"/>
  <c r="L38" i="19" s="1"/>
  <c r="N37" i="19"/>
  <c r="O37" i="19" s="1"/>
  <c r="P37" i="19" s="1"/>
  <c r="J37" i="19"/>
  <c r="K37" i="19" s="1"/>
  <c r="L37" i="19" s="1"/>
  <c r="N36" i="19"/>
  <c r="O36" i="19" s="1"/>
  <c r="P36" i="19" s="1"/>
  <c r="J36" i="19"/>
  <c r="K36" i="19" s="1"/>
  <c r="L36" i="19" s="1"/>
  <c r="N35" i="19"/>
  <c r="O35" i="19" s="1"/>
  <c r="P35" i="19" s="1"/>
  <c r="J35" i="19"/>
  <c r="K35" i="19" s="1"/>
  <c r="L35" i="19" s="1"/>
  <c r="N31" i="19"/>
  <c r="O31" i="19" s="1"/>
  <c r="P31" i="19" s="1"/>
  <c r="J31" i="19"/>
  <c r="K31" i="19" s="1"/>
  <c r="L31" i="19" s="1"/>
  <c r="N30" i="19"/>
  <c r="O30" i="19" s="1"/>
  <c r="P30" i="19" s="1"/>
  <c r="J30" i="19"/>
  <c r="K30" i="19" s="1"/>
  <c r="L30" i="19" s="1"/>
  <c r="N28" i="19"/>
  <c r="O28" i="19" s="1"/>
  <c r="P28" i="19" s="1"/>
  <c r="J28" i="19"/>
  <c r="K28" i="19" s="1"/>
  <c r="L28" i="19" s="1"/>
  <c r="N27" i="19"/>
  <c r="O27" i="19" s="1"/>
  <c r="P27" i="19" s="1"/>
  <c r="J27" i="19"/>
  <c r="K27" i="19" s="1"/>
  <c r="L27" i="19" s="1"/>
  <c r="N26" i="19"/>
  <c r="O26" i="19" s="1"/>
  <c r="P26" i="19" s="1"/>
  <c r="J26" i="19"/>
  <c r="K26" i="19" s="1"/>
  <c r="L26" i="19" s="1"/>
  <c r="N23" i="19"/>
  <c r="O23" i="19" s="1"/>
  <c r="P23" i="19" s="1"/>
  <c r="J23" i="19"/>
  <c r="K23" i="19" s="1"/>
  <c r="L23" i="19" s="1"/>
  <c r="N22" i="19"/>
  <c r="O22" i="19" s="1"/>
  <c r="P22" i="19" s="1"/>
  <c r="J22" i="19"/>
  <c r="K22" i="19" s="1"/>
  <c r="L22" i="19" s="1"/>
  <c r="N20" i="19"/>
  <c r="O20" i="19" s="1"/>
  <c r="P20" i="19" s="1"/>
  <c r="J20" i="19"/>
  <c r="K20" i="19" s="1"/>
  <c r="L20" i="19" s="1"/>
  <c r="N19" i="19"/>
  <c r="O19" i="19" s="1"/>
  <c r="P19" i="19" s="1"/>
  <c r="J19" i="19"/>
  <c r="K19" i="19" s="1"/>
  <c r="L19" i="19" s="1"/>
  <c r="N18" i="19"/>
  <c r="O18" i="19" s="1"/>
  <c r="P18" i="19" s="1"/>
  <c r="J18" i="19"/>
  <c r="K18" i="19" s="1"/>
  <c r="L18" i="19" s="1"/>
  <c r="N16" i="19"/>
  <c r="O16" i="19" s="1"/>
  <c r="P16" i="19" s="1"/>
  <c r="J16" i="19"/>
  <c r="K16" i="19" s="1"/>
  <c r="L16" i="19" s="1"/>
  <c r="N13" i="19"/>
  <c r="O13" i="19" s="1"/>
  <c r="P13" i="19" s="1"/>
  <c r="J13" i="19"/>
  <c r="K13" i="19" s="1"/>
  <c r="L13" i="19" s="1"/>
  <c r="N12" i="19"/>
  <c r="O12" i="19" s="1"/>
  <c r="P12" i="19" s="1"/>
  <c r="J12" i="19"/>
  <c r="K12" i="19" s="1"/>
  <c r="L12" i="19" s="1"/>
  <c r="N8" i="19"/>
  <c r="O8" i="19" s="1"/>
  <c r="P8" i="19" s="1"/>
  <c r="J8" i="19"/>
  <c r="K8" i="19" s="1"/>
  <c r="L8" i="19" s="1"/>
  <c r="N7" i="19"/>
  <c r="O7" i="19" s="1"/>
  <c r="P7" i="19" s="1"/>
  <c r="J7" i="19"/>
  <c r="K7" i="19" s="1"/>
  <c r="L7" i="19" s="1"/>
  <c r="N6" i="19"/>
  <c r="O6" i="19" s="1"/>
  <c r="P6" i="19" s="1"/>
  <c r="J6" i="19"/>
  <c r="K6" i="19" s="1"/>
  <c r="L6" i="19" s="1"/>
  <c r="N5" i="19"/>
  <c r="O5" i="19" s="1"/>
  <c r="P5" i="19" s="1"/>
  <c r="J5" i="19"/>
  <c r="K5" i="19" s="1"/>
  <c r="L5" i="19" s="1"/>
  <c r="G37" i="16"/>
  <c r="N32" i="16"/>
  <c r="O32" i="16" s="1"/>
  <c r="P32" i="16" s="1"/>
  <c r="J32" i="16"/>
  <c r="K32" i="16" s="1"/>
  <c r="L32" i="16" s="1"/>
  <c r="N31" i="16"/>
  <c r="O31" i="16" s="1"/>
  <c r="P31" i="16" s="1"/>
  <c r="J31" i="16"/>
  <c r="K31" i="16" s="1"/>
  <c r="L31" i="16" s="1"/>
  <c r="N29" i="16"/>
  <c r="O29" i="16" s="1"/>
  <c r="P29" i="16" s="1"/>
  <c r="J29" i="16"/>
  <c r="K29" i="16" s="1"/>
  <c r="L29" i="16" s="1"/>
  <c r="Y34" i="16"/>
  <c r="V34" i="16"/>
  <c r="W34" i="16" s="1"/>
  <c r="U34" i="16"/>
  <c r="R34" i="16"/>
  <c r="S34" i="16" s="1"/>
  <c r="T34" i="16" s="1"/>
  <c r="N34" i="16"/>
  <c r="O34" i="16" s="1"/>
  <c r="P34" i="16" s="1"/>
  <c r="J34" i="16"/>
  <c r="K34" i="16" s="1"/>
  <c r="L34" i="16" s="1"/>
  <c r="Y33" i="16"/>
  <c r="V33" i="16"/>
  <c r="W33" i="16" s="1"/>
  <c r="U33" i="16"/>
  <c r="R33" i="16"/>
  <c r="S33" i="16" s="1"/>
  <c r="T33" i="16" s="1"/>
  <c r="N33" i="16"/>
  <c r="O33" i="16" s="1"/>
  <c r="P33" i="16" s="1"/>
  <c r="J33" i="16"/>
  <c r="K33" i="16" s="1"/>
  <c r="L33" i="16" s="1"/>
  <c r="N28" i="16"/>
  <c r="O28" i="16" s="1"/>
  <c r="P28" i="16" s="1"/>
  <c r="J28" i="16"/>
  <c r="K28" i="16" s="1"/>
  <c r="L28" i="16" s="1"/>
  <c r="N27" i="16"/>
  <c r="O27" i="16" s="1"/>
  <c r="P27" i="16" s="1"/>
  <c r="J27" i="16"/>
  <c r="K27" i="16" s="1"/>
  <c r="L27" i="16" s="1"/>
  <c r="N26" i="16"/>
  <c r="O26" i="16" s="1"/>
  <c r="P26" i="16" s="1"/>
  <c r="J26" i="16"/>
  <c r="K26" i="16" s="1"/>
  <c r="L26" i="16" s="1"/>
  <c r="N25" i="16"/>
  <c r="O25" i="16" s="1"/>
  <c r="P25" i="16" s="1"/>
  <c r="J25" i="16"/>
  <c r="K25" i="16" s="1"/>
  <c r="L25" i="16" s="1"/>
  <c r="N19" i="16"/>
  <c r="O19" i="16" s="1"/>
  <c r="P19" i="16" s="1"/>
  <c r="J19" i="16"/>
  <c r="K19" i="16" s="1"/>
  <c r="L19" i="16" s="1"/>
  <c r="N18" i="16"/>
  <c r="O18" i="16" s="1"/>
  <c r="P18" i="16" s="1"/>
  <c r="J18" i="16"/>
  <c r="K18" i="16" s="1"/>
  <c r="L18" i="16" s="1"/>
  <c r="N15" i="16"/>
  <c r="O15" i="16" s="1"/>
  <c r="P15" i="16" s="1"/>
  <c r="J15" i="16"/>
  <c r="K15" i="16" s="1"/>
  <c r="L15" i="16" s="1"/>
  <c r="N14" i="16"/>
  <c r="O14" i="16" s="1"/>
  <c r="P14" i="16" s="1"/>
  <c r="J14" i="16"/>
  <c r="K14" i="16" s="1"/>
  <c r="L14" i="16" s="1"/>
  <c r="N11" i="16"/>
  <c r="O11" i="16" s="1"/>
  <c r="P11" i="16" s="1"/>
  <c r="J11" i="16"/>
  <c r="K11" i="16" s="1"/>
  <c r="L11" i="16" s="1"/>
  <c r="N9" i="16"/>
  <c r="O9" i="16" s="1"/>
  <c r="P9" i="16" s="1"/>
  <c r="J9" i="16"/>
  <c r="K9" i="16" s="1"/>
  <c r="L9" i="16" s="1"/>
  <c r="U16" i="21"/>
  <c r="G15" i="12" l="1"/>
  <c r="G55" i="19"/>
  <c r="G25" i="20"/>
  <c r="G28" i="21" l="1"/>
  <c r="Y24" i="21" l="1"/>
  <c r="V24" i="21"/>
  <c r="W24" i="21" s="1"/>
  <c r="U24" i="21"/>
  <c r="R24" i="21"/>
  <c r="S24" i="21" s="1"/>
  <c r="T24" i="21" s="1"/>
  <c r="N24" i="21"/>
  <c r="O24" i="21" s="1"/>
  <c r="P24" i="21" s="1"/>
  <c r="J24" i="21"/>
  <c r="K24" i="21" s="1"/>
  <c r="L24" i="21" s="1"/>
  <c r="Y23" i="21"/>
  <c r="V23" i="21"/>
  <c r="W23" i="21" s="1"/>
  <c r="U23" i="21"/>
  <c r="R23" i="21"/>
  <c r="S23" i="21" s="1"/>
  <c r="T23" i="21" s="1"/>
  <c r="N23" i="21"/>
  <c r="O23" i="21" s="1"/>
  <c r="P23" i="21" s="1"/>
  <c r="J23" i="21"/>
  <c r="K23" i="21" s="1"/>
  <c r="L23" i="21" s="1"/>
  <c r="Y22" i="21"/>
  <c r="V22" i="21"/>
  <c r="W22" i="21" s="1"/>
  <c r="U22" i="21"/>
  <c r="R22" i="21"/>
  <c r="S22" i="21" s="1"/>
  <c r="T22" i="21" s="1"/>
  <c r="N22" i="21"/>
  <c r="O22" i="21" s="1"/>
  <c r="P22" i="21" s="1"/>
  <c r="J22" i="21"/>
  <c r="K22" i="21" s="1"/>
  <c r="L22" i="21" s="1"/>
  <c r="Y21" i="21"/>
  <c r="V21" i="21"/>
  <c r="W21" i="21" s="1"/>
  <c r="U21" i="21"/>
  <c r="R21" i="21"/>
  <c r="S21" i="21" s="1"/>
  <c r="T21" i="21" s="1"/>
  <c r="N21" i="21"/>
  <c r="O21" i="21" s="1"/>
  <c r="P21" i="21" s="1"/>
  <c r="J21" i="21"/>
  <c r="K21" i="21" s="1"/>
  <c r="L21" i="21" s="1"/>
  <c r="Y20" i="21"/>
  <c r="V20" i="21"/>
  <c r="W20" i="21" s="1"/>
  <c r="U20" i="21"/>
  <c r="R20" i="21"/>
  <c r="S20" i="21" s="1"/>
  <c r="T20" i="21" s="1"/>
  <c r="N20" i="21"/>
  <c r="O20" i="21" s="1"/>
  <c r="P20" i="21" s="1"/>
  <c r="J20" i="21"/>
  <c r="K20" i="21" s="1"/>
  <c r="L20" i="21" s="1"/>
  <c r="Y19" i="21"/>
  <c r="V19" i="21"/>
  <c r="W19" i="21" s="1"/>
  <c r="U19" i="21"/>
  <c r="R19" i="21"/>
  <c r="S19" i="21" s="1"/>
  <c r="T19" i="21" s="1"/>
  <c r="N19" i="21"/>
  <c r="O19" i="21" s="1"/>
  <c r="P19" i="21" s="1"/>
  <c r="J19" i="21"/>
  <c r="K19" i="21" s="1"/>
  <c r="L19" i="21" s="1"/>
  <c r="Y18" i="21"/>
  <c r="V18" i="21"/>
  <c r="W18" i="21" s="1"/>
  <c r="U18" i="21"/>
  <c r="R18" i="21"/>
  <c r="S18" i="21" s="1"/>
  <c r="T18" i="21" s="1"/>
  <c r="N18" i="21"/>
  <c r="O18" i="21" s="1"/>
  <c r="P18" i="21" s="1"/>
  <c r="J18" i="21"/>
  <c r="K18" i="21" s="1"/>
  <c r="L18" i="21" s="1"/>
  <c r="Y17" i="21"/>
  <c r="V17" i="21"/>
  <c r="W17" i="21" s="1"/>
  <c r="U17" i="21"/>
  <c r="R17" i="21"/>
  <c r="S17" i="21" s="1"/>
  <c r="T17" i="21" s="1"/>
  <c r="N17" i="21"/>
  <c r="O17" i="21" s="1"/>
  <c r="P17" i="21" s="1"/>
  <c r="J17" i="21"/>
  <c r="K17" i="21" s="1"/>
  <c r="L17" i="21" s="1"/>
  <c r="Y16" i="21"/>
  <c r="V16" i="21"/>
  <c r="W16" i="21" s="1"/>
  <c r="R16" i="21"/>
  <c r="S16" i="21" s="1"/>
  <c r="T16" i="21" s="1"/>
  <c r="N16" i="21"/>
  <c r="O16" i="21" s="1"/>
  <c r="P16" i="21" s="1"/>
  <c r="J16" i="21"/>
  <c r="K16" i="21" s="1"/>
  <c r="L16" i="21" s="1"/>
  <c r="Y15" i="21"/>
  <c r="V15" i="21"/>
  <c r="W15" i="21" s="1"/>
  <c r="R15" i="21"/>
  <c r="S15" i="21" s="1"/>
  <c r="T15" i="21" s="1"/>
  <c r="N15" i="21"/>
  <c r="O15" i="21" s="1"/>
  <c r="P15" i="21" s="1"/>
  <c r="J15" i="21"/>
  <c r="K15" i="21" s="1"/>
  <c r="L15" i="21" s="1"/>
  <c r="Y14" i="21"/>
  <c r="V14" i="21"/>
  <c r="W14" i="21" s="1"/>
  <c r="R14" i="21"/>
  <c r="S14" i="21" s="1"/>
  <c r="T14" i="21" s="1"/>
  <c r="N14" i="21"/>
  <c r="O14" i="21" s="1"/>
  <c r="P14" i="21" s="1"/>
  <c r="J14" i="21"/>
  <c r="K14" i="21" s="1"/>
  <c r="L14" i="21" s="1"/>
  <c r="Y13" i="21"/>
  <c r="V13" i="21"/>
  <c r="W13" i="21" s="1"/>
  <c r="R13" i="21"/>
  <c r="S13" i="21" s="1"/>
  <c r="T13" i="21" s="1"/>
  <c r="N13" i="21"/>
  <c r="O13" i="21" s="1"/>
  <c r="P13" i="21" s="1"/>
  <c r="J13" i="21"/>
  <c r="K13" i="21" s="1"/>
  <c r="L13" i="21" s="1"/>
  <c r="U3" i="19" l="1"/>
  <c r="V3" i="12" l="1"/>
  <c r="A1" i="16" l="1"/>
  <c r="Y9" i="16" l="1"/>
  <c r="Y6" i="20" l="1"/>
  <c r="Y4" i="20"/>
  <c r="Y5" i="20"/>
  <c r="Y7" i="20"/>
  <c r="Y8" i="20"/>
  <c r="Y9" i="20"/>
  <c r="Y10" i="20"/>
  <c r="Y11" i="20"/>
  <c r="Y12" i="20"/>
  <c r="Y13" i="20"/>
  <c r="Y14" i="20"/>
  <c r="Y15" i="20"/>
  <c r="Y16" i="20"/>
  <c r="Y17" i="20"/>
  <c r="Y18" i="20"/>
  <c r="Y19" i="20"/>
  <c r="Y20" i="20"/>
  <c r="Y21" i="20"/>
  <c r="Y22" i="20"/>
  <c r="Y3" i="20"/>
  <c r="V5" i="12"/>
  <c r="U10" i="16"/>
  <c r="Y25" i="20" l="1"/>
  <c r="V8" i="20" l="1"/>
  <c r="W8" i="20" s="1"/>
  <c r="U8" i="20"/>
  <c r="R8" i="20"/>
  <c r="S8" i="20" s="1"/>
  <c r="T8" i="20" s="1"/>
  <c r="N8" i="20"/>
  <c r="O8" i="20" s="1"/>
  <c r="P8" i="20" s="1"/>
  <c r="J8" i="20"/>
  <c r="K8" i="20" s="1"/>
  <c r="L8" i="20" s="1"/>
  <c r="Y37" i="16" l="1"/>
  <c r="U7" i="19" l="1"/>
  <c r="U9" i="19"/>
  <c r="U24" i="19" l="1"/>
  <c r="U25" i="19"/>
  <c r="U28" i="19"/>
  <c r="U29" i="19"/>
  <c r="U30" i="19"/>
  <c r="U31" i="19"/>
  <c r="U33" i="19"/>
  <c r="U34" i="19"/>
  <c r="U35" i="19"/>
  <c r="U36" i="19"/>
  <c r="U42" i="19"/>
  <c r="U45" i="19"/>
  <c r="U46" i="19"/>
  <c r="U48" i="19"/>
  <c r="U49" i="19"/>
  <c r="U50" i="19"/>
  <c r="U51" i="19"/>
  <c r="U52" i="19"/>
  <c r="U10" i="19"/>
  <c r="U12" i="19"/>
  <c r="U14" i="19"/>
  <c r="U18" i="19"/>
  <c r="U19" i="19"/>
  <c r="U20" i="19"/>
  <c r="U21" i="19"/>
  <c r="U4" i="19"/>
  <c r="U5" i="19"/>
  <c r="U6" i="19"/>
  <c r="U8" i="19"/>
  <c r="Y52" i="19"/>
  <c r="V52" i="19"/>
  <c r="W52" i="19" s="1"/>
  <c r="R52" i="19"/>
  <c r="S52" i="19" s="1"/>
  <c r="T52" i="19" s="1"/>
  <c r="N52" i="19"/>
  <c r="O52" i="19" s="1"/>
  <c r="P52" i="19" s="1"/>
  <c r="R29" i="19"/>
  <c r="S29" i="19" s="1"/>
  <c r="T29" i="19" s="1"/>
  <c r="Y51" i="19"/>
  <c r="V51" i="19"/>
  <c r="W51" i="19" s="1"/>
  <c r="R51" i="19"/>
  <c r="S51" i="19" s="1"/>
  <c r="T51" i="19" s="1"/>
  <c r="N51" i="19"/>
  <c r="O51" i="19" s="1"/>
  <c r="P51" i="19" s="1"/>
  <c r="J51" i="19"/>
  <c r="K51" i="19" s="1"/>
  <c r="L51" i="19" s="1"/>
  <c r="Y50" i="19"/>
  <c r="V50" i="19"/>
  <c r="W50" i="19" s="1"/>
  <c r="R50" i="19"/>
  <c r="S50" i="19" s="1"/>
  <c r="T50" i="19" s="1"/>
  <c r="N50" i="19"/>
  <c r="O50" i="19" s="1"/>
  <c r="P50" i="19" s="1"/>
  <c r="J50" i="19"/>
  <c r="K50" i="19" s="1"/>
  <c r="L50" i="19" s="1"/>
  <c r="Y49" i="19"/>
  <c r="V49" i="19"/>
  <c r="W49" i="19" s="1"/>
  <c r="R49" i="19"/>
  <c r="S49" i="19" s="1"/>
  <c r="T49" i="19" s="1"/>
  <c r="N49" i="19"/>
  <c r="O49" i="19" s="1"/>
  <c r="P49" i="19" s="1"/>
  <c r="K49" i="19"/>
  <c r="L49" i="19" s="1"/>
  <c r="Y48" i="19"/>
  <c r="V48" i="19"/>
  <c r="W48" i="19" s="1"/>
  <c r="R48" i="19"/>
  <c r="S48" i="19" s="1"/>
  <c r="T48" i="19" s="1"/>
  <c r="N48" i="19"/>
  <c r="O48" i="19" s="1"/>
  <c r="P48" i="19" s="1"/>
  <c r="J48" i="19"/>
  <c r="K48" i="19" s="1"/>
  <c r="L48" i="19" s="1"/>
  <c r="Y27" i="16"/>
  <c r="V27" i="16"/>
  <c r="W27" i="16" s="1"/>
  <c r="U27" i="16"/>
  <c r="R27" i="16"/>
  <c r="S27" i="16" s="1"/>
  <c r="T27" i="16" s="1"/>
  <c r="Y28" i="16"/>
  <c r="V28" i="16"/>
  <c r="W28" i="16" s="1"/>
  <c r="U28" i="16"/>
  <c r="R28" i="16"/>
  <c r="S28" i="16" s="1"/>
  <c r="T28" i="16" s="1"/>
  <c r="Y21" i="16"/>
  <c r="V21" i="16"/>
  <c r="W21" i="16" s="1"/>
  <c r="U21" i="16"/>
  <c r="R21" i="16"/>
  <c r="S21" i="16" s="1"/>
  <c r="T21" i="16" s="1"/>
  <c r="N21" i="16"/>
  <c r="O21" i="16" s="1"/>
  <c r="P21" i="16" s="1"/>
  <c r="J21" i="16"/>
  <c r="K21" i="16" s="1"/>
  <c r="L21" i="16" s="1"/>
  <c r="Y14" i="16"/>
  <c r="R14" i="16"/>
  <c r="S14" i="16" s="1"/>
  <c r="T14" i="16" s="1"/>
  <c r="R9" i="16"/>
  <c r="S9" i="16" s="1"/>
  <c r="T9" i="16" s="1"/>
  <c r="U55" i="19" l="1"/>
  <c r="J52" i="19"/>
  <c r="K52" i="19" s="1"/>
  <c r="L52" i="19" s="1"/>
  <c r="U14" i="16"/>
  <c r="V14" i="16"/>
  <c r="W14" i="16" s="1"/>
  <c r="V9" i="16"/>
  <c r="W9" i="16" s="1"/>
  <c r="U9" i="16"/>
  <c r="W4" i="12" l="1"/>
  <c r="W5" i="12"/>
  <c r="W6" i="12"/>
  <c r="W7" i="12"/>
  <c r="W8" i="12"/>
  <c r="W9" i="12"/>
  <c r="W10" i="12"/>
  <c r="W11" i="12"/>
  <c r="W12" i="12"/>
  <c r="W3" i="12"/>
  <c r="U9" i="20"/>
  <c r="U7" i="20"/>
  <c r="U6" i="20"/>
  <c r="U4" i="20"/>
  <c r="V22" i="20" l="1"/>
  <c r="W22" i="20" s="1"/>
  <c r="U22" i="20"/>
  <c r="R22" i="20"/>
  <c r="S22" i="20" s="1"/>
  <c r="T22" i="20" s="1"/>
  <c r="N22" i="20"/>
  <c r="O22" i="20" s="1"/>
  <c r="P22" i="20" s="1"/>
  <c r="J22" i="20"/>
  <c r="K22" i="20" s="1"/>
  <c r="L22" i="20" s="1"/>
  <c r="V21" i="20"/>
  <c r="W21" i="20" s="1"/>
  <c r="U21" i="20"/>
  <c r="R21" i="20"/>
  <c r="S21" i="20" s="1"/>
  <c r="T21" i="20" s="1"/>
  <c r="N21" i="20"/>
  <c r="O21" i="20" s="1"/>
  <c r="P21" i="20" s="1"/>
  <c r="J21" i="20"/>
  <c r="K21" i="20" s="1"/>
  <c r="L21" i="20" s="1"/>
  <c r="V20" i="20"/>
  <c r="W20" i="20" s="1"/>
  <c r="U20" i="20"/>
  <c r="R20" i="20"/>
  <c r="S20" i="20" s="1"/>
  <c r="T20" i="20" s="1"/>
  <c r="N20" i="20"/>
  <c r="O20" i="20" s="1"/>
  <c r="P20" i="20" s="1"/>
  <c r="J20" i="20"/>
  <c r="K20" i="20" s="1"/>
  <c r="L20" i="20" s="1"/>
  <c r="V19" i="20"/>
  <c r="W19" i="20" s="1"/>
  <c r="U19" i="20"/>
  <c r="R19" i="20"/>
  <c r="S19" i="20" s="1"/>
  <c r="T19" i="20" s="1"/>
  <c r="N19" i="20"/>
  <c r="O19" i="20" s="1"/>
  <c r="P19" i="20" s="1"/>
  <c r="J19" i="20"/>
  <c r="K19" i="20" s="1"/>
  <c r="L19" i="20" s="1"/>
  <c r="V18" i="20"/>
  <c r="W18" i="20" s="1"/>
  <c r="R18" i="20"/>
  <c r="S18" i="20" s="1"/>
  <c r="T18" i="20" s="1"/>
  <c r="N18" i="20"/>
  <c r="O18" i="20" s="1"/>
  <c r="P18" i="20" s="1"/>
  <c r="J18" i="20"/>
  <c r="K18" i="20" s="1"/>
  <c r="L18" i="20" s="1"/>
  <c r="V17" i="20"/>
  <c r="W17" i="20" s="1"/>
  <c r="U17" i="20"/>
  <c r="R17" i="20"/>
  <c r="S17" i="20" s="1"/>
  <c r="T17" i="20" s="1"/>
  <c r="N17" i="20"/>
  <c r="O17" i="20" s="1"/>
  <c r="P17" i="20" s="1"/>
  <c r="J17" i="20"/>
  <c r="K17" i="20" s="1"/>
  <c r="L17" i="20" s="1"/>
  <c r="V16" i="20"/>
  <c r="W16" i="20" s="1"/>
  <c r="U16" i="20"/>
  <c r="R16" i="20"/>
  <c r="S16" i="20" s="1"/>
  <c r="T16" i="20" s="1"/>
  <c r="N16" i="20"/>
  <c r="O16" i="20" s="1"/>
  <c r="P16" i="20" s="1"/>
  <c r="J16" i="20"/>
  <c r="K16" i="20" s="1"/>
  <c r="L16" i="20" s="1"/>
  <c r="V4" i="12"/>
  <c r="V6" i="12"/>
  <c r="V7" i="12"/>
  <c r="V8" i="12"/>
  <c r="V9" i="12"/>
  <c r="V10" i="12"/>
  <c r="V11" i="12"/>
  <c r="V12" i="12"/>
  <c r="W15" i="12" l="1"/>
  <c r="X15" i="12" s="1"/>
  <c r="Y11" i="12" l="1"/>
  <c r="R11" i="12"/>
  <c r="S11" i="12" s="1"/>
  <c r="T11" i="12" s="1"/>
  <c r="N11" i="12"/>
  <c r="O11" i="12" s="1"/>
  <c r="P11" i="12" s="1"/>
  <c r="J11" i="12"/>
  <c r="K11" i="12" s="1"/>
  <c r="L11" i="12" s="1"/>
  <c r="Y10" i="12"/>
  <c r="R10" i="12"/>
  <c r="S10" i="12" s="1"/>
  <c r="T10" i="12" s="1"/>
  <c r="N10" i="12"/>
  <c r="O10" i="12" s="1"/>
  <c r="P10" i="12" s="1"/>
  <c r="J10" i="12"/>
  <c r="K10" i="12" s="1"/>
  <c r="L10" i="12" s="1"/>
  <c r="Y9" i="12"/>
  <c r="R9" i="12"/>
  <c r="S9" i="12" s="1"/>
  <c r="T9" i="12" s="1"/>
  <c r="N9" i="12"/>
  <c r="O9" i="12" s="1"/>
  <c r="P9" i="12" s="1"/>
  <c r="J9" i="12"/>
  <c r="K9" i="12" s="1"/>
  <c r="L9" i="12" s="1"/>
  <c r="Y8" i="12"/>
  <c r="R8" i="12"/>
  <c r="S8" i="12" s="1"/>
  <c r="T8" i="12" s="1"/>
  <c r="N8" i="12"/>
  <c r="O8" i="12" s="1"/>
  <c r="P8" i="12" s="1"/>
  <c r="J8" i="12"/>
  <c r="K8" i="12" s="1"/>
  <c r="L8" i="12" s="1"/>
  <c r="Y7" i="12"/>
  <c r="R7" i="12"/>
  <c r="S7" i="12" s="1"/>
  <c r="T7" i="12" s="1"/>
  <c r="N7" i="12"/>
  <c r="O7" i="12" s="1"/>
  <c r="P7" i="12" s="1"/>
  <c r="J7" i="12"/>
  <c r="K7" i="12" s="1"/>
  <c r="L7" i="12" s="1"/>
  <c r="J13" i="16" l="1"/>
  <c r="K13" i="16" s="1"/>
  <c r="L13" i="16" s="1"/>
  <c r="N13" i="16"/>
  <c r="O13" i="16" s="1"/>
  <c r="V15" i="20" l="1"/>
  <c r="W15" i="20" s="1"/>
  <c r="U15" i="20"/>
  <c r="R15" i="20"/>
  <c r="S15" i="20" s="1"/>
  <c r="T15" i="20" s="1"/>
  <c r="N15" i="20"/>
  <c r="O15" i="20" s="1"/>
  <c r="P15" i="20" s="1"/>
  <c r="J15" i="20"/>
  <c r="K15" i="20" s="1"/>
  <c r="L15" i="20" s="1"/>
  <c r="V14" i="20"/>
  <c r="W14" i="20" s="1"/>
  <c r="U14" i="20"/>
  <c r="R14" i="20"/>
  <c r="S14" i="20" s="1"/>
  <c r="T14" i="20" s="1"/>
  <c r="N14" i="20"/>
  <c r="O14" i="20" s="1"/>
  <c r="P14" i="20" s="1"/>
  <c r="J14" i="20"/>
  <c r="K14" i="20" s="1"/>
  <c r="L14" i="20" s="1"/>
  <c r="V13" i="20"/>
  <c r="W13" i="20" s="1"/>
  <c r="U13" i="20"/>
  <c r="R13" i="20"/>
  <c r="S13" i="20" s="1"/>
  <c r="T13" i="20" s="1"/>
  <c r="N13" i="20"/>
  <c r="O13" i="20" s="1"/>
  <c r="P13" i="20" s="1"/>
  <c r="J13" i="20"/>
  <c r="K13" i="20" s="1"/>
  <c r="L13" i="20" s="1"/>
  <c r="V12" i="20"/>
  <c r="W12" i="20" s="1"/>
  <c r="U12" i="20"/>
  <c r="R12" i="20"/>
  <c r="S12" i="20" s="1"/>
  <c r="T12" i="20" s="1"/>
  <c r="N12" i="20"/>
  <c r="O12" i="20" s="1"/>
  <c r="P12" i="20" s="1"/>
  <c r="J12" i="20"/>
  <c r="K12" i="20" s="1"/>
  <c r="L12" i="20" s="1"/>
  <c r="N4" i="21" l="1"/>
  <c r="R4" i="21"/>
  <c r="J4" i="21"/>
  <c r="N3" i="12"/>
  <c r="N4" i="12"/>
  <c r="N5" i="12"/>
  <c r="N6" i="12"/>
  <c r="N12" i="12"/>
  <c r="R3" i="12"/>
  <c r="R4" i="12"/>
  <c r="R5" i="12"/>
  <c r="R6" i="12"/>
  <c r="R12" i="12"/>
  <c r="A1" i="21" l="1"/>
  <c r="A1" i="20"/>
  <c r="A1" i="19"/>
  <c r="Y12" i="12" l="1"/>
  <c r="S12" i="12"/>
  <c r="T12" i="12" s="1"/>
  <c r="O12" i="12"/>
  <c r="P12" i="12" s="1"/>
  <c r="J12" i="12"/>
  <c r="K12" i="12" s="1"/>
  <c r="L12" i="12" s="1"/>
  <c r="Y6" i="12"/>
  <c r="S6" i="12"/>
  <c r="T6" i="12" s="1"/>
  <c r="O6" i="12"/>
  <c r="P6" i="12" s="1"/>
  <c r="J6" i="12"/>
  <c r="K6" i="12" s="1"/>
  <c r="L6" i="12" s="1"/>
  <c r="Y5" i="12"/>
  <c r="S5" i="12"/>
  <c r="T5" i="12" s="1"/>
  <c r="O5" i="12"/>
  <c r="P5" i="12" s="1"/>
  <c r="J5" i="12"/>
  <c r="K5" i="12" s="1"/>
  <c r="L5" i="12" s="1"/>
  <c r="Y4" i="12"/>
  <c r="S4" i="12"/>
  <c r="T4" i="12" s="1"/>
  <c r="O4" i="12"/>
  <c r="P4" i="12" s="1"/>
  <c r="J4" i="12"/>
  <c r="K4" i="12" s="1"/>
  <c r="L4" i="12" s="1"/>
  <c r="Y3" i="12"/>
  <c r="S3" i="12"/>
  <c r="T3" i="12" s="1"/>
  <c r="O3" i="12"/>
  <c r="P3" i="12" s="1"/>
  <c r="J3" i="12"/>
  <c r="K3" i="12" s="1"/>
  <c r="L3" i="12" s="1"/>
  <c r="Y15" i="12" l="1"/>
  <c r="P15" i="12"/>
  <c r="T15" i="12"/>
  <c r="N8" i="16"/>
  <c r="U17" i="16"/>
  <c r="U11" i="16" l="1"/>
  <c r="U20" i="16"/>
  <c r="U30" i="16"/>
  <c r="Y22" i="19"/>
  <c r="V22" i="19"/>
  <c r="W22" i="19" s="1"/>
  <c r="R22" i="19"/>
  <c r="S22" i="19" s="1"/>
  <c r="T22" i="19" s="1"/>
  <c r="U24" i="16"/>
  <c r="U29" i="16"/>
  <c r="U31" i="16"/>
  <c r="U32" i="16"/>
  <c r="U3" i="16"/>
  <c r="U4" i="16"/>
  <c r="U5" i="16"/>
  <c r="U6" i="16"/>
  <c r="U8" i="16"/>
  <c r="U7" i="16"/>
  <c r="U12" i="16"/>
  <c r="U13" i="16"/>
  <c r="U15" i="16"/>
  <c r="U19" i="16"/>
  <c r="U18" i="16"/>
  <c r="U16" i="16"/>
  <c r="U25" i="16" l="1"/>
  <c r="V6" i="20" l="1"/>
  <c r="W6" i="20" s="1"/>
  <c r="R6" i="20"/>
  <c r="S6" i="20" s="1"/>
  <c r="T6" i="20" s="1"/>
  <c r="N6" i="20"/>
  <c r="O6" i="20" s="1"/>
  <c r="P6" i="20" s="1"/>
  <c r="J6" i="20"/>
  <c r="K6" i="20" s="1"/>
  <c r="L6" i="20" s="1"/>
  <c r="V5" i="20"/>
  <c r="W5" i="20" s="1"/>
  <c r="R5" i="20"/>
  <c r="S5" i="20" s="1"/>
  <c r="T5" i="20" s="1"/>
  <c r="N5" i="20"/>
  <c r="O5" i="20" s="1"/>
  <c r="P5" i="20" s="1"/>
  <c r="J5" i="20"/>
  <c r="K5" i="20" s="1"/>
  <c r="L5" i="20" s="1"/>
  <c r="Y47" i="19" l="1"/>
  <c r="V47" i="19"/>
  <c r="W47" i="19" s="1"/>
  <c r="R47" i="19"/>
  <c r="S47" i="19" s="1"/>
  <c r="T47" i="19" s="1"/>
  <c r="Y46" i="19"/>
  <c r="V46" i="19"/>
  <c r="W46" i="19" s="1"/>
  <c r="R46" i="19"/>
  <c r="S46" i="19" s="1"/>
  <c r="T46" i="19" s="1"/>
  <c r="Y45" i="19"/>
  <c r="V45" i="19"/>
  <c r="W45" i="19" s="1"/>
  <c r="R45" i="19"/>
  <c r="S45" i="19" s="1"/>
  <c r="T45" i="19" s="1"/>
  <c r="N45" i="19"/>
  <c r="O45" i="19" s="1"/>
  <c r="P45" i="19" s="1"/>
  <c r="J45" i="19"/>
  <c r="K45" i="19" s="1"/>
  <c r="L45" i="19" s="1"/>
  <c r="Y44" i="19" l="1"/>
  <c r="V44" i="19"/>
  <c r="W44" i="19" s="1"/>
  <c r="R44" i="19"/>
  <c r="S44" i="19" s="1"/>
  <c r="T44" i="19" s="1"/>
  <c r="Y43" i="19"/>
  <c r="V43" i="19"/>
  <c r="W43" i="19" s="1"/>
  <c r="R43" i="19"/>
  <c r="S43" i="19" s="1"/>
  <c r="T43" i="19" s="1"/>
  <c r="Y42" i="19"/>
  <c r="V42" i="19"/>
  <c r="W42" i="19" s="1"/>
  <c r="R42" i="19"/>
  <c r="S42" i="19" s="1"/>
  <c r="T42" i="19" s="1"/>
  <c r="Y41" i="19"/>
  <c r="V41" i="19"/>
  <c r="W41" i="19" s="1"/>
  <c r="R41" i="19"/>
  <c r="S41" i="19" s="1"/>
  <c r="T41" i="19" s="1"/>
  <c r="N41" i="19"/>
  <c r="O41" i="19" s="1"/>
  <c r="P41" i="19" s="1"/>
  <c r="J41" i="19"/>
  <c r="K41" i="19" s="1"/>
  <c r="L41" i="19" s="1"/>
  <c r="Y40" i="19"/>
  <c r="V40" i="19"/>
  <c r="W40" i="19" s="1"/>
  <c r="R40" i="19"/>
  <c r="S40" i="19" s="1"/>
  <c r="T40" i="19" s="1"/>
  <c r="Y31" i="16" l="1"/>
  <c r="Y5" i="16"/>
  <c r="Y4" i="16"/>
  <c r="Y38" i="19" l="1"/>
  <c r="Y32" i="19"/>
  <c r="Y9" i="19"/>
  <c r="Y25" i="19"/>
  <c r="Y39" i="19"/>
  <c r="Y20" i="19"/>
  <c r="V38" i="19"/>
  <c r="W38" i="19" s="1"/>
  <c r="V32" i="19"/>
  <c r="V9" i="19"/>
  <c r="V25" i="19"/>
  <c r="V39" i="19"/>
  <c r="W39" i="19" s="1"/>
  <c r="V20" i="19"/>
  <c r="V24" i="19"/>
  <c r="R38" i="19"/>
  <c r="S38" i="19" s="1"/>
  <c r="T38" i="19" s="1"/>
  <c r="R32" i="19"/>
  <c r="S32" i="19" s="1"/>
  <c r="T32" i="19" s="1"/>
  <c r="R9" i="19"/>
  <c r="S9" i="19" s="1"/>
  <c r="T9" i="19" s="1"/>
  <c r="R25" i="19"/>
  <c r="S25" i="19" s="1"/>
  <c r="T25" i="19" s="1"/>
  <c r="R39" i="19"/>
  <c r="S39" i="19" s="1"/>
  <c r="T39" i="19" s="1"/>
  <c r="R20" i="19"/>
  <c r="S20" i="19" s="1"/>
  <c r="N32" i="19"/>
  <c r="O32" i="19" s="1"/>
  <c r="P32" i="19" s="1"/>
  <c r="N9" i="19"/>
  <c r="O9" i="19" s="1"/>
  <c r="P9" i="19" s="1"/>
  <c r="N25" i="19"/>
  <c r="O25" i="19" s="1"/>
  <c r="P25" i="19" s="1"/>
  <c r="N39" i="19"/>
  <c r="O39" i="19" s="1"/>
  <c r="P39" i="19" s="1"/>
  <c r="J32" i="19"/>
  <c r="K32" i="19" s="1"/>
  <c r="L32" i="19" s="1"/>
  <c r="J9" i="19"/>
  <c r="K9" i="19" s="1"/>
  <c r="L9" i="19" s="1"/>
  <c r="J25" i="19"/>
  <c r="K25" i="19" s="1"/>
  <c r="L25" i="19" s="1"/>
  <c r="J39" i="19"/>
  <c r="K39" i="19" s="1"/>
  <c r="L39" i="19" s="1"/>
  <c r="J24" i="19"/>
  <c r="J3" i="21" l="1"/>
  <c r="K3" i="21" s="1"/>
  <c r="L3" i="21" s="1"/>
  <c r="N3" i="21"/>
  <c r="O3" i="21" s="1"/>
  <c r="P3" i="21" s="1"/>
  <c r="R3" i="21"/>
  <c r="S3" i="21" s="1"/>
  <c r="T3" i="21" s="1"/>
  <c r="V3" i="21"/>
  <c r="W3" i="21" s="1"/>
  <c r="Y3" i="21"/>
  <c r="J5" i="21"/>
  <c r="K5" i="21" s="1"/>
  <c r="L5" i="21" s="1"/>
  <c r="N5" i="21"/>
  <c r="O5" i="21" s="1"/>
  <c r="P5" i="21" s="1"/>
  <c r="R5" i="21"/>
  <c r="S5" i="21" s="1"/>
  <c r="T5" i="21" s="1"/>
  <c r="V5" i="21"/>
  <c r="W5" i="21" s="1"/>
  <c r="Y5" i="21"/>
  <c r="J6" i="21"/>
  <c r="K6" i="21" s="1"/>
  <c r="L6" i="21" s="1"/>
  <c r="N6" i="21"/>
  <c r="O6" i="21" s="1"/>
  <c r="P6" i="21" s="1"/>
  <c r="R6" i="21"/>
  <c r="S6" i="21" s="1"/>
  <c r="T6" i="21" s="1"/>
  <c r="V6" i="21"/>
  <c r="W6" i="21" s="1"/>
  <c r="Y6" i="21"/>
  <c r="J11" i="21"/>
  <c r="K11" i="21" s="1"/>
  <c r="N11" i="21"/>
  <c r="O11" i="21" s="1"/>
  <c r="R11" i="21"/>
  <c r="S11" i="21" s="1"/>
  <c r="V11" i="21"/>
  <c r="J12" i="21"/>
  <c r="K12" i="21" s="1"/>
  <c r="L12" i="21" s="1"/>
  <c r="N12" i="21"/>
  <c r="O12" i="21" s="1"/>
  <c r="P12" i="21" s="1"/>
  <c r="R12" i="21"/>
  <c r="S12" i="21" s="1"/>
  <c r="T12" i="21" s="1"/>
  <c r="V12" i="21"/>
  <c r="Y12" i="21"/>
  <c r="J7" i="21"/>
  <c r="K7" i="21" s="1"/>
  <c r="L7" i="21" s="1"/>
  <c r="N7" i="21"/>
  <c r="O7" i="21" s="1"/>
  <c r="P7" i="21" s="1"/>
  <c r="R7" i="21"/>
  <c r="S7" i="21" s="1"/>
  <c r="T7" i="21" s="1"/>
  <c r="V7" i="21"/>
  <c r="W7" i="21" s="1"/>
  <c r="Y7" i="21"/>
  <c r="J8" i="21"/>
  <c r="K8" i="21" s="1"/>
  <c r="L8" i="21" s="1"/>
  <c r="N8" i="21"/>
  <c r="O8" i="21" s="1"/>
  <c r="P8" i="21" s="1"/>
  <c r="R8" i="21"/>
  <c r="S8" i="21" s="1"/>
  <c r="T8" i="21" s="1"/>
  <c r="V8" i="21"/>
  <c r="W8" i="21" s="1"/>
  <c r="Y8" i="21"/>
  <c r="J9" i="21"/>
  <c r="K9" i="21" s="1"/>
  <c r="L9" i="21" s="1"/>
  <c r="N9" i="21"/>
  <c r="O9" i="21" s="1"/>
  <c r="P9" i="21" s="1"/>
  <c r="R9" i="21"/>
  <c r="S9" i="21" s="1"/>
  <c r="T9" i="21" s="1"/>
  <c r="V9" i="21"/>
  <c r="W9" i="21" s="1"/>
  <c r="Y9" i="21"/>
  <c r="J10" i="21"/>
  <c r="K10" i="21" s="1"/>
  <c r="L10" i="21" s="1"/>
  <c r="N10" i="21"/>
  <c r="O10" i="21" s="1"/>
  <c r="P10" i="21" s="1"/>
  <c r="R10" i="21"/>
  <c r="S10" i="21" s="1"/>
  <c r="T10" i="21" s="1"/>
  <c r="V10" i="21"/>
  <c r="W10" i="21" s="1"/>
  <c r="Y10" i="21"/>
  <c r="Y33" i="19"/>
  <c r="V33" i="19"/>
  <c r="W33" i="19" s="1"/>
  <c r="R33" i="19"/>
  <c r="S33" i="19" s="1"/>
  <c r="T33" i="19" s="1"/>
  <c r="N33" i="19"/>
  <c r="O33" i="19" s="1"/>
  <c r="P33" i="19" s="1"/>
  <c r="J33" i="19"/>
  <c r="K33" i="19" s="1"/>
  <c r="L33" i="19" s="1"/>
  <c r="Y10" i="19"/>
  <c r="V10" i="19"/>
  <c r="W10" i="19" s="1"/>
  <c r="R10" i="19"/>
  <c r="S10" i="19" s="1"/>
  <c r="T10" i="19" s="1"/>
  <c r="N10" i="19"/>
  <c r="O10" i="19" s="1"/>
  <c r="P10" i="19" s="1"/>
  <c r="J10" i="19"/>
  <c r="K10" i="19" s="1"/>
  <c r="L10" i="19" s="1"/>
  <c r="Y16" i="19"/>
  <c r="V16" i="19"/>
  <c r="W16" i="19" s="1"/>
  <c r="R16" i="19"/>
  <c r="S16" i="19" s="1"/>
  <c r="T16" i="19" s="1"/>
  <c r="W32" i="19"/>
  <c r="W9" i="19"/>
  <c r="Y4" i="19" l="1"/>
  <c r="V4" i="19"/>
  <c r="W4" i="19" s="1"/>
  <c r="R4" i="19"/>
  <c r="S4" i="19" s="1"/>
  <c r="T4" i="19" s="1"/>
  <c r="N4" i="19"/>
  <c r="O4" i="19" s="1"/>
  <c r="P4" i="19" s="1"/>
  <c r="J4" i="19"/>
  <c r="K4" i="19" s="1"/>
  <c r="L4" i="19" s="1"/>
  <c r="W15" i="19"/>
  <c r="R15" i="19"/>
  <c r="S15" i="19" s="1"/>
  <c r="T15" i="19" s="1"/>
  <c r="N15" i="19"/>
  <c r="O15" i="19" s="1"/>
  <c r="P15" i="19" s="1"/>
  <c r="J15" i="19"/>
  <c r="K15" i="19" s="1"/>
  <c r="L15" i="19" s="1"/>
  <c r="Y8" i="19"/>
  <c r="V8" i="19"/>
  <c r="W8" i="19" s="1"/>
  <c r="R8" i="19"/>
  <c r="S8" i="19" s="1"/>
  <c r="T8" i="19" s="1"/>
  <c r="Y31" i="19"/>
  <c r="V31" i="19"/>
  <c r="W31" i="19" s="1"/>
  <c r="R31" i="19"/>
  <c r="S31" i="19" s="1"/>
  <c r="T31" i="19" s="1"/>
  <c r="Y5" i="19"/>
  <c r="V5" i="19"/>
  <c r="W5" i="19" s="1"/>
  <c r="R5" i="19"/>
  <c r="S5" i="19" s="1"/>
  <c r="T5" i="19" s="1"/>
  <c r="Y30" i="19"/>
  <c r="V30" i="19"/>
  <c r="W30" i="19" s="1"/>
  <c r="R30" i="19"/>
  <c r="S30" i="19" s="1"/>
  <c r="T30" i="19" s="1"/>
  <c r="Y37" i="19"/>
  <c r="V37" i="19"/>
  <c r="W37" i="19" s="1"/>
  <c r="R37" i="19"/>
  <c r="S37" i="19" s="1"/>
  <c r="T37" i="19" s="1"/>
  <c r="Y23" i="19"/>
  <c r="V23" i="19"/>
  <c r="W23" i="19" s="1"/>
  <c r="R23" i="19"/>
  <c r="S23" i="19" s="1"/>
  <c r="T23" i="19" s="1"/>
  <c r="Y17" i="19"/>
  <c r="V17" i="19"/>
  <c r="W17" i="19" s="1"/>
  <c r="R17" i="19"/>
  <c r="S17" i="19" s="1"/>
  <c r="T17" i="19" s="1"/>
  <c r="N17" i="19"/>
  <c r="O17" i="19" s="1"/>
  <c r="P17" i="19" s="1"/>
  <c r="J17" i="19"/>
  <c r="K17" i="19" s="1"/>
  <c r="L17" i="19" s="1"/>
  <c r="Y29" i="19"/>
  <c r="V29" i="19"/>
  <c r="W29" i="19" s="1"/>
  <c r="N29" i="19"/>
  <c r="O29" i="19" s="1"/>
  <c r="P29" i="19" s="1"/>
  <c r="J29" i="19"/>
  <c r="K29" i="19" s="1"/>
  <c r="L29" i="19" s="1"/>
  <c r="Y28" i="19"/>
  <c r="V28" i="19"/>
  <c r="W28" i="19" s="1"/>
  <c r="R28" i="19"/>
  <c r="S28" i="19" s="1"/>
  <c r="T28" i="19" s="1"/>
  <c r="Y36" i="19"/>
  <c r="V36" i="19"/>
  <c r="W36" i="19" s="1"/>
  <c r="R36" i="19"/>
  <c r="S36" i="19" s="1"/>
  <c r="T36" i="19" s="1"/>
  <c r="Y32" i="16"/>
  <c r="V32" i="16"/>
  <c r="W32" i="16" s="1"/>
  <c r="R32" i="16"/>
  <c r="S32" i="16" s="1"/>
  <c r="T32" i="16" s="1"/>
  <c r="Y29" i="16"/>
  <c r="V29" i="16"/>
  <c r="W29" i="16" s="1"/>
  <c r="R29" i="16"/>
  <c r="S29" i="16" s="1"/>
  <c r="T29" i="16" s="1"/>
  <c r="U15" i="12" l="1"/>
  <c r="W20" i="19" l="1"/>
  <c r="T20" i="19"/>
  <c r="Y13" i="19"/>
  <c r="V13" i="19"/>
  <c r="W13" i="19" s="1"/>
  <c r="R13" i="19"/>
  <c r="S13" i="19" s="1"/>
  <c r="T13" i="19" s="1"/>
  <c r="Y35" i="19"/>
  <c r="V35" i="19"/>
  <c r="W35" i="19" s="1"/>
  <c r="R35" i="19"/>
  <c r="S35" i="19" s="1"/>
  <c r="T35" i="19" s="1"/>
  <c r="Y12" i="19"/>
  <c r="V12" i="19"/>
  <c r="W12" i="19" s="1"/>
  <c r="R12" i="19"/>
  <c r="S12" i="19" s="1"/>
  <c r="T12" i="19" s="1"/>
  <c r="Y11" i="19"/>
  <c r="V11" i="19"/>
  <c r="W11" i="19" s="1"/>
  <c r="R11" i="19"/>
  <c r="S11" i="19" s="1"/>
  <c r="T11" i="19" s="1"/>
  <c r="N11" i="19"/>
  <c r="O11" i="19" s="1"/>
  <c r="P11" i="19" s="1"/>
  <c r="J11" i="19"/>
  <c r="K11" i="19" s="1"/>
  <c r="L11" i="19" s="1"/>
  <c r="Y3" i="19"/>
  <c r="V3" i="19"/>
  <c r="W3" i="19" s="1"/>
  <c r="R3" i="19"/>
  <c r="S3" i="19" s="1"/>
  <c r="T3" i="19" s="1"/>
  <c r="N3" i="19"/>
  <c r="O3" i="19" s="1"/>
  <c r="P3" i="19" s="1"/>
  <c r="J3" i="19"/>
  <c r="K3" i="19" s="1"/>
  <c r="L3" i="19" s="1"/>
  <c r="Y27" i="19"/>
  <c r="V27" i="19"/>
  <c r="W27" i="19" s="1"/>
  <c r="R27" i="19"/>
  <c r="S27" i="19" s="1"/>
  <c r="T27" i="19" s="1"/>
  <c r="Y19" i="19"/>
  <c r="V19" i="19"/>
  <c r="W19" i="19" s="1"/>
  <c r="R19" i="19"/>
  <c r="S19" i="19" s="1"/>
  <c r="T19" i="19" s="1"/>
  <c r="Y18" i="19"/>
  <c r="V18" i="19"/>
  <c r="W18" i="19" s="1"/>
  <c r="R18" i="19"/>
  <c r="S18" i="19" s="1"/>
  <c r="T18" i="19" s="1"/>
  <c r="Y26" i="19"/>
  <c r="V26" i="19"/>
  <c r="W26" i="19" s="1"/>
  <c r="R26" i="19"/>
  <c r="S26" i="19" s="1"/>
  <c r="T26" i="19" s="1"/>
  <c r="W25" i="19"/>
  <c r="Y7" i="16" l="1"/>
  <c r="Y6" i="16"/>
  <c r="Y8" i="16"/>
  <c r="Y10" i="16"/>
  <c r="Y11" i="16"/>
  <c r="Y12" i="16"/>
  <c r="Y13" i="16"/>
  <c r="Y15" i="16"/>
  <c r="Y19" i="16"/>
  <c r="Y18" i="16"/>
  <c r="Y17" i="16"/>
  <c r="Y20" i="16"/>
  <c r="Y16" i="16"/>
  <c r="Y25" i="16"/>
  <c r="Y22" i="16"/>
  <c r="Y23" i="16"/>
  <c r="Y26" i="16"/>
  <c r="Y24" i="16"/>
  <c r="Y30" i="16"/>
  <c r="Y3" i="16"/>
  <c r="V21" i="19"/>
  <c r="W21" i="19" s="1"/>
  <c r="Y6" i="19"/>
  <c r="Y21" i="19"/>
  <c r="Y24" i="19"/>
  <c r="Y7" i="19"/>
  <c r="Y34" i="19"/>
  <c r="Y14" i="19"/>
  <c r="V4" i="21"/>
  <c r="W4" i="21" s="1"/>
  <c r="V7" i="20"/>
  <c r="W7" i="20" s="1"/>
  <c r="V9" i="20"/>
  <c r="W9" i="20" s="1"/>
  <c r="V3" i="20"/>
  <c r="W3" i="20" s="1"/>
  <c r="V10" i="20"/>
  <c r="W10" i="20" s="1"/>
  <c r="V11" i="20"/>
  <c r="W11" i="20" s="1"/>
  <c r="V4" i="20"/>
  <c r="W4" i="20" s="1"/>
  <c r="U3" i="20"/>
  <c r="U10" i="20"/>
  <c r="U11" i="20"/>
  <c r="R11" i="20"/>
  <c r="S11" i="20" s="1"/>
  <c r="T11" i="20" s="1"/>
  <c r="N11" i="20"/>
  <c r="O11" i="20" s="1"/>
  <c r="P11" i="20" s="1"/>
  <c r="J11" i="20"/>
  <c r="K11" i="20" s="1"/>
  <c r="L11" i="20" s="1"/>
  <c r="R10" i="20"/>
  <c r="S10" i="20" s="1"/>
  <c r="T10" i="20" s="1"/>
  <c r="N10" i="20"/>
  <c r="O10" i="20" s="1"/>
  <c r="P10" i="20" s="1"/>
  <c r="J10" i="20"/>
  <c r="K10" i="20" s="1"/>
  <c r="L10" i="20" s="1"/>
  <c r="R3" i="20"/>
  <c r="S3" i="20" s="1"/>
  <c r="T3" i="20" s="1"/>
  <c r="N3" i="20"/>
  <c r="O3" i="20" s="1"/>
  <c r="P3" i="20" s="1"/>
  <c r="J3" i="20"/>
  <c r="K3" i="20" s="1"/>
  <c r="L3" i="20" s="1"/>
  <c r="V6" i="19"/>
  <c r="W6" i="19" s="1"/>
  <c r="W24" i="19"/>
  <c r="V7" i="19"/>
  <c r="W7" i="19" s="1"/>
  <c r="V34" i="19"/>
  <c r="W34" i="19" s="1"/>
  <c r="V14" i="19"/>
  <c r="W14" i="19" s="1"/>
  <c r="U22" i="16"/>
  <c r="U23" i="16"/>
  <c r="U26" i="16"/>
  <c r="V3" i="16"/>
  <c r="W3" i="16" s="1"/>
  <c r="S28" i="21"/>
  <c r="S4" i="21"/>
  <c r="T4" i="21" s="1"/>
  <c r="O4" i="21"/>
  <c r="P4" i="21" s="1"/>
  <c r="K4" i="21"/>
  <c r="L4" i="21" s="1"/>
  <c r="R9" i="20"/>
  <c r="S9" i="20" s="1"/>
  <c r="T9" i="20" s="1"/>
  <c r="N9" i="20"/>
  <c r="O9" i="20" s="1"/>
  <c r="P9" i="20" s="1"/>
  <c r="J9" i="20"/>
  <c r="K9" i="20" s="1"/>
  <c r="L9" i="20" s="1"/>
  <c r="R7" i="20"/>
  <c r="S7" i="20" s="1"/>
  <c r="T7" i="20" s="1"/>
  <c r="N7" i="20"/>
  <c r="O7" i="20" s="1"/>
  <c r="P7" i="20" s="1"/>
  <c r="J7" i="20"/>
  <c r="K7" i="20" s="1"/>
  <c r="L7" i="20" s="1"/>
  <c r="R4" i="20"/>
  <c r="S4" i="20" s="1"/>
  <c r="T4" i="20" s="1"/>
  <c r="N4" i="20"/>
  <c r="O4" i="20" s="1"/>
  <c r="P4" i="20" s="1"/>
  <c r="J4" i="20"/>
  <c r="K4" i="20" s="1"/>
  <c r="L4" i="20" s="1"/>
  <c r="V31" i="16"/>
  <c r="W31" i="16" s="1"/>
  <c r="R31" i="16"/>
  <c r="S31" i="16" s="1"/>
  <c r="T31" i="16" s="1"/>
  <c r="V30" i="16"/>
  <c r="W30" i="16" s="1"/>
  <c r="R30" i="16"/>
  <c r="S30" i="16" s="1"/>
  <c r="T30" i="16" s="1"/>
  <c r="N30" i="16"/>
  <c r="O30" i="16" s="1"/>
  <c r="P30" i="16" s="1"/>
  <c r="J30" i="16"/>
  <c r="K30" i="16" s="1"/>
  <c r="L30" i="16" s="1"/>
  <c r="V24" i="16"/>
  <c r="W24" i="16" s="1"/>
  <c r="R24" i="16"/>
  <c r="S24" i="16" s="1"/>
  <c r="T24" i="16" s="1"/>
  <c r="N24" i="16"/>
  <c r="O24" i="16" s="1"/>
  <c r="P24" i="16" s="1"/>
  <c r="J24" i="16"/>
  <c r="K24" i="16" s="1"/>
  <c r="L24" i="16" s="1"/>
  <c r="V26" i="16"/>
  <c r="W26" i="16" s="1"/>
  <c r="R26" i="16"/>
  <c r="S26" i="16" s="1"/>
  <c r="T26" i="16" s="1"/>
  <c r="V23" i="16"/>
  <c r="W23" i="16" s="1"/>
  <c r="R23" i="16"/>
  <c r="S23" i="16" s="1"/>
  <c r="T23" i="16" s="1"/>
  <c r="N23" i="16"/>
  <c r="O23" i="16" s="1"/>
  <c r="P23" i="16" s="1"/>
  <c r="J23" i="16"/>
  <c r="V22" i="16"/>
  <c r="W22" i="16" s="1"/>
  <c r="R22" i="16"/>
  <c r="S22" i="16" s="1"/>
  <c r="T22" i="16" s="1"/>
  <c r="P22" i="16"/>
  <c r="J22" i="16"/>
  <c r="K22" i="16" s="1"/>
  <c r="L22" i="16" s="1"/>
  <c r="V25" i="16"/>
  <c r="W25" i="16" s="1"/>
  <c r="R25" i="16"/>
  <c r="S25" i="16" s="1"/>
  <c r="T25" i="16" s="1"/>
  <c r="V16" i="16"/>
  <c r="W16" i="16" s="1"/>
  <c r="R16" i="16"/>
  <c r="S16" i="16" s="1"/>
  <c r="T16" i="16" s="1"/>
  <c r="N16" i="16"/>
  <c r="O16" i="16" s="1"/>
  <c r="P16" i="16" s="1"/>
  <c r="J16" i="16"/>
  <c r="V20" i="16"/>
  <c r="W20" i="16" s="1"/>
  <c r="R20" i="16"/>
  <c r="S20" i="16" s="1"/>
  <c r="T20" i="16" s="1"/>
  <c r="N20" i="16"/>
  <c r="O20" i="16" s="1"/>
  <c r="P20" i="16" s="1"/>
  <c r="J20" i="16"/>
  <c r="K20" i="16" s="1"/>
  <c r="L20" i="16" s="1"/>
  <c r="V17" i="16"/>
  <c r="W17" i="16" s="1"/>
  <c r="R17" i="16"/>
  <c r="S17" i="16" s="1"/>
  <c r="T17" i="16" s="1"/>
  <c r="N17" i="16"/>
  <c r="O17" i="16" s="1"/>
  <c r="P17" i="16" s="1"/>
  <c r="J17" i="16"/>
  <c r="K17" i="16" s="1"/>
  <c r="L17" i="16" s="1"/>
  <c r="V18" i="16"/>
  <c r="W18" i="16" s="1"/>
  <c r="R18" i="16"/>
  <c r="S18" i="16" s="1"/>
  <c r="T18" i="16" s="1"/>
  <c r="V19" i="16"/>
  <c r="W19" i="16" s="1"/>
  <c r="R19" i="16"/>
  <c r="S19" i="16" s="1"/>
  <c r="T19" i="16" s="1"/>
  <c r="R14" i="19"/>
  <c r="S14" i="19" s="1"/>
  <c r="T14" i="19" s="1"/>
  <c r="N14" i="19"/>
  <c r="O14" i="19" s="1"/>
  <c r="P14" i="19" s="1"/>
  <c r="J14" i="19"/>
  <c r="K14" i="19" s="1"/>
  <c r="L14" i="19" s="1"/>
  <c r="R34" i="19"/>
  <c r="S34" i="19" s="1"/>
  <c r="T34" i="19" s="1"/>
  <c r="N34" i="19"/>
  <c r="O34" i="19" s="1"/>
  <c r="P34" i="19" s="1"/>
  <c r="J34" i="19"/>
  <c r="K34" i="19" s="1"/>
  <c r="L34" i="19" s="1"/>
  <c r="R7" i="19"/>
  <c r="S7" i="19" s="1"/>
  <c r="T7" i="19" s="1"/>
  <c r="R24" i="19"/>
  <c r="S24" i="19" s="1"/>
  <c r="T24" i="19" s="1"/>
  <c r="N24" i="19"/>
  <c r="O24" i="19" s="1"/>
  <c r="P24" i="19" s="1"/>
  <c r="K24" i="19"/>
  <c r="L24" i="19" s="1"/>
  <c r="R21" i="19"/>
  <c r="S21" i="19" s="1"/>
  <c r="T21" i="19" s="1"/>
  <c r="N21" i="19"/>
  <c r="O21" i="19" s="1"/>
  <c r="P21" i="19" s="1"/>
  <c r="J21" i="19"/>
  <c r="K21" i="19" s="1"/>
  <c r="L21" i="19" s="1"/>
  <c r="R6" i="19"/>
  <c r="S6" i="19" s="1"/>
  <c r="T6" i="19" s="1"/>
  <c r="V15" i="16"/>
  <c r="W15" i="16" s="1"/>
  <c r="R15" i="16"/>
  <c r="S15" i="16" s="1"/>
  <c r="T15" i="16" s="1"/>
  <c r="V13" i="16"/>
  <c r="W13" i="16" s="1"/>
  <c r="R13" i="16"/>
  <c r="S13" i="16" s="1"/>
  <c r="T13" i="16" s="1"/>
  <c r="P13" i="16"/>
  <c r="V12" i="16"/>
  <c r="W12" i="16" s="1"/>
  <c r="R12" i="16"/>
  <c r="S12" i="16" s="1"/>
  <c r="T12" i="16" s="1"/>
  <c r="N12" i="16"/>
  <c r="O12" i="16" s="1"/>
  <c r="P12" i="16" s="1"/>
  <c r="J12" i="16"/>
  <c r="V11" i="16"/>
  <c r="W11" i="16" s="1"/>
  <c r="R11" i="16"/>
  <c r="S11" i="16" s="1"/>
  <c r="T11" i="16" s="1"/>
  <c r="V10" i="16"/>
  <c r="W10" i="16" s="1"/>
  <c r="R10" i="16"/>
  <c r="S10" i="16" s="1"/>
  <c r="T10" i="16" s="1"/>
  <c r="N10" i="16"/>
  <c r="O10" i="16" s="1"/>
  <c r="P10" i="16" s="1"/>
  <c r="J10" i="16"/>
  <c r="V8" i="16"/>
  <c r="W8" i="16" s="1"/>
  <c r="R8" i="16"/>
  <c r="S8" i="16" s="1"/>
  <c r="T8" i="16" s="1"/>
  <c r="O8" i="16"/>
  <c r="P8" i="16" s="1"/>
  <c r="J8" i="16"/>
  <c r="V6" i="16"/>
  <c r="W6" i="16" s="1"/>
  <c r="R6" i="16"/>
  <c r="S6" i="16" s="1"/>
  <c r="T6" i="16" s="1"/>
  <c r="N6" i="16"/>
  <c r="O6" i="16" s="1"/>
  <c r="P6" i="16" s="1"/>
  <c r="J6" i="16"/>
  <c r="K6" i="16" s="1"/>
  <c r="L6" i="16" s="1"/>
  <c r="V7" i="16"/>
  <c r="W7" i="16" s="1"/>
  <c r="R7" i="16"/>
  <c r="S7" i="16" s="1"/>
  <c r="T7" i="16" s="1"/>
  <c r="N7" i="16"/>
  <c r="O7" i="16" s="1"/>
  <c r="P7" i="16" s="1"/>
  <c r="J7" i="16"/>
  <c r="V5" i="16"/>
  <c r="W5" i="16" s="1"/>
  <c r="R5" i="16"/>
  <c r="S5" i="16" s="1"/>
  <c r="T5" i="16" s="1"/>
  <c r="N5" i="16"/>
  <c r="O5" i="16" s="1"/>
  <c r="P5" i="16" s="1"/>
  <c r="J5" i="16"/>
  <c r="V4" i="16"/>
  <c r="W4" i="16" s="1"/>
  <c r="R4" i="16"/>
  <c r="S4" i="16" s="1"/>
  <c r="T4" i="16" s="1"/>
  <c r="N4" i="16"/>
  <c r="O4" i="16" s="1"/>
  <c r="P4" i="16" s="1"/>
  <c r="J4" i="16"/>
  <c r="R3" i="16"/>
  <c r="S3" i="16" s="1"/>
  <c r="T3" i="16" s="1"/>
  <c r="N3" i="16"/>
  <c r="O3" i="16" s="1"/>
  <c r="P3" i="16" s="1"/>
  <c r="J3" i="16"/>
  <c r="K3" i="16" s="1"/>
  <c r="T55" i="19" l="1"/>
  <c r="W55" i="19"/>
  <c r="X55" i="19" s="1"/>
  <c r="W25" i="20"/>
  <c r="X25" i="20" s="1"/>
  <c r="Y55" i="19"/>
  <c r="L25" i="20"/>
  <c r="P25" i="20"/>
  <c r="W37" i="16"/>
  <c r="X37" i="16" s="1"/>
  <c r="P37" i="16"/>
  <c r="T37" i="16"/>
  <c r="P55" i="19"/>
  <c r="L55" i="19"/>
  <c r="U25" i="20"/>
  <c r="T25" i="20"/>
  <c r="K4" i="16"/>
  <c r="L4" i="16" s="1"/>
  <c r="L3" i="16"/>
  <c r="K23" i="16"/>
  <c r="L23" i="16" s="1"/>
  <c r="K8" i="16"/>
  <c r="L8" i="16" s="1"/>
  <c r="K7" i="16"/>
  <c r="L7" i="16" s="1"/>
  <c r="K10" i="16"/>
  <c r="L10" i="16" s="1"/>
  <c r="K12" i="16"/>
  <c r="L12" i="16" s="1"/>
  <c r="K16" i="16"/>
  <c r="L16" i="16" s="1"/>
  <c r="K5" i="16"/>
  <c r="U37" i="16"/>
  <c r="R28" i="21"/>
  <c r="N28" i="21"/>
  <c r="L5" i="16" l="1"/>
  <c r="L37" i="16" s="1"/>
  <c r="L15" i="12" l="1"/>
  <c r="Y4" i="21" l="1"/>
  <c r="P11" i="21" l="1"/>
  <c r="P27" i="21" s="1"/>
  <c r="P28" i="21" s="1"/>
  <c r="W11" i="21" l="1"/>
  <c r="W27" i="21" s="1"/>
  <c r="X27" i="21" s="1"/>
  <c r="Y11" i="21"/>
  <c r="Y27" i="21" s="1"/>
  <c r="T11" i="21"/>
  <c r="T27" i="21" s="1"/>
  <c r="T28" i="21" s="1"/>
  <c r="U27" i="21"/>
  <c r="L11" i="21"/>
  <c r="L27" i="21" s="1"/>
  <c r="L28" i="21" s="1"/>
  <c r="W28" i="21" l="1"/>
  <c r="X28" i="21" l="1"/>
</calcChain>
</file>

<file path=xl/sharedStrings.xml><?xml version="1.0" encoding="utf-8"?>
<sst xmlns="http://schemas.openxmlformats.org/spreadsheetml/2006/main" count="671" uniqueCount="137">
  <si>
    <t>PROYEK</t>
  </si>
  <si>
    <t>MUTU</t>
  </si>
  <si>
    <t>AJM</t>
  </si>
  <si>
    <t>T O T A L</t>
  </si>
  <si>
    <t>SALES</t>
  </si>
  <si>
    <t>CUSTOMER</t>
  </si>
  <si>
    <t>PLANT</t>
  </si>
  <si>
    <t>VOL</t>
  </si>
  <si>
    <t>DEAL</t>
  </si>
  <si>
    <t>FEE</t>
  </si>
  <si>
    <t>PPN</t>
  </si>
  <si>
    <t>TOTAL</t>
  </si>
  <si>
    <t>TOTAL DEAL</t>
  </si>
  <si>
    <t>TOTAL AJM</t>
  </si>
  <si>
    <t>TOTAL MARGIN</t>
  </si>
  <si>
    <t>MARGIN/m3</t>
  </si>
  <si>
    <t>TOTAL SHARE</t>
  </si>
  <si>
    <t>SHARE MARGIN</t>
  </si>
  <si>
    <t>No.</t>
  </si>
  <si>
    <t>NO</t>
  </si>
  <si>
    <t>DATE</t>
  </si>
  <si>
    <t>Reyza</t>
  </si>
  <si>
    <t>Agus E</t>
  </si>
  <si>
    <t>Rizal</t>
  </si>
  <si>
    <t>HARGA + PPN</t>
  </si>
  <si>
    <t>K300</t>
  </si>
  <si>
    <t>K250</t>
  </si>
  <si>
    <t>K350</t>
  </si>
  <si>
    <t>K225</t>
  </si>
  <si>
    <t>PT Tri Megah Baswara</t>
  </si>
  <si>
    <t>K300NFA</t>
  </si>
  <si>
    <t>Agus</t>
  </si>
  <si>
    <t>TOTAL BUY IN</t>
  </si>
  <si>
    <t>BUY IN</t>
  </si>
  <si>
    <t>Gempol</t>
  </si>
  <si>
    <t>Kediri</t>
  </si>
  <si>
    <t>Malang</t>
  </si>
  <si>
    <t>Manukan</t>
  </si>
  <si>
    <t>Dn Gesing 0 RT 00 RW 00 randu pitu</t>
  </si>
  <si>
    <t>Prapto</t>
  </si>
  <si>
    <t>Jakarta</t>
  </si>
  <si>
    <t>Bpk Permadi</t>
  </si>
  <si>
    <t>Andreas</t>
  </si>
  <si>
    <t>Kusbiantoro</t>
  </si>
  <si>
    <t>Tandon Air PT. Rimba Kencana</t>
  </si>
  <si>
    <t>GPDI ANUGERAH TANGGGUNG TUREN</t>
  </si>
  <si>
    <t>K350NFA</t>
  </si>
  <si>
    <t>K400NFA</t>
  </si>
  <si>
    <t>K250NFA</t>
  </si>
  <si>
    <t>Bapak Dwi</t>
  </si>
  <si>
    <t>Gempol 9</t>
  </si>
  <si>
    <t>Pondok Pesantren Lirboyo Kediri</t>
  </si>
  <si>
    <t>NINDYA - SSPS KSO</t>
  </si>
  <si>
    <t>Bp Pri</t>
  </si>
  <si>
    <t>Gema Putra Perkasa (Eni)</t>
  </si>
  <si>
    <t>Dukuh kupang timur VII No 17 A</t>
  </si>
  <si>
    <t>Bpk Budi</t>
  </si>
  <si>
    <t>margorejo indah blok b no 416</t>
  </si>
  <si>
    <t>CV anugerah pratama mulia</t>
  </si>
  <si>
    <t>bumi marina emas utara blok f no 18b. Keputih, Kec. Sukolilo, Surabaya</t>
  </si>
  <si>
    <t>PT KAUSYAR RIZKI LESTARI</t>
  </si>
  <si>
    <t>RS. Setia Mitra - Jakarta Selatan</t>
  </si>
  <si>
    <t xml:space="preserve">K-300 SP 3 </t>
  </si>
  <si>
    <t xml:space="preserve">K-300 SP 7 </t>
  </si>
  <si>
    <t xml:space="preserve">K-300 SP 14 </t>
  </si>
  <si>
    <t>REKAP PENJUALAN SALES AJM APRIL 2026</t>
  </si>
  <si>
    <t>Wisnu Wardono</t>
  </si>
  <si>
    <t>PT. Rajawali Megah Semesta Jl. Rangkah Kidul, Kec. Sidoarjo</t>
  </si>
  <si>
    <t>PT. Persada Usaha Mandiri</t>
  </si>
  <si>
    <t>Gedung Cold Storage No. 168 Bangil</t>
  </si>
  <si>
    <t>PT HP Metals Indonesia</t>
  </si>
  <si>
    <t>Ngoro Industri Persada Blok K No.2 Ngoro - Kabupaten Mojokerto</t>
  </si>
  <si>
    <t>PT Solindo Tama Jaya</t>
  </si>
  <si>
    <t>Bapak Rahmad</t>
  </si>
  <si>
    <t>Kajang II, Kepulungan, Kec. Gempol, Pasuruan, Jawa Timur 67155</t>
  </si>
  <si>
    <t>K500</t>
  </si>
  <si>
    <t>Bakalan Purwosari Samping Saigon</t>
  </si>
  <si>
    <t>Bapak Agus</t>
  </si>
  <si>
    <t>Panggreh, Kec. Jabon, Kabupaten Sidoarjo, Jawa Timur 61278</t>
  </si>
  <si>
    <t>Sonokeling indah</t>
  </si>
  <si>
    <t>Sonokeling indah beji</t>
  </si>
  <si>
    <t>cv citra karya abadi</t>
  </si>
  <si>
    <t>PT. Cargill 9R99+FVV, Pejangkungan, Kec. Rembang, Pasuruan, Jawa Timur 67152</t>
  </si>
  <si>
    <t>K400 SP3</t>
  </si>
  <si>
    <t>Bapak Misnadi</t>
  </si>
  <si>
    <t>Masjid STIT muhammadiyah 2 Bangil</t>
  </si>
  <si>
    <t>Rumah Istana Lokasi jln Ry kesiman- penanggungan pandaan</t>
  </si>
  <si>
    <t>Ibu Sari</t>
  </si>
  <si>
    <t>Bpk Erwin</t>
  </si>
  <si>
    <t>crusher wirabhumi sejati ngoro</t>
  </si>
  <si>
    <t>Jl. Dukuhsari, Dukuhsari II, Dukuhsari, Kec. Jabon, Kabupaten Sidoarjo, Jawa Timur 61276</t>
  </si>
  <si>
    <t>K400</t>
  </si>
  <si>
    <t>Bpk M.Dhifi</t>
  </si>
  <si>
    <t>Jl. Rajawali II, Sidoarjo, 61273, ID(Warkop Nayenk)</t>
  </si>
  <si>
    <t>FC25</t>
  </si>
  <si>
    <t>Ds Pare Kediri</t>
  </si>
  <si>
    <t>K300 Screening</t>
  </si>
  <si>
    <t>Bapak Dimas</t>
  </si>
  <si>
    <t>Jl. Margotani Sukorame Mojoroto Kediri</t>
  </si>
  <si>
    <t>Bp Agus Karsono</t>
  </si>
  <si>
    <t>Jl Pamenang Katang Kediri</t>
  </si>
  <si>
    <t>Bpk. Anas</t>
  </si>
  <si>
    <t>K325</t>
  </si>
  <si>
    <t>Ibu Paramita</t>
  </si>
  <si>
    <t>Bapak Sutrisno</t>
  </si>
  <si>
    <t>Bp Sasongko</t>
  </si>
  <si>
    <t>DS Bogo Kidul</t>
  </si>
  <si>
    <t>Bp Drajat</t>
  </si>
  <si>
    <t>Jl. Putih Kec. Gampengrejo Kediri, Jawa Timur</t>
  </si>
  <si>
    <t>Bpk. Bin</t>
  </si>
  <si>
    <t>Tj Kalang Prambon Ngronggot Nganjuk</t>
  </si>
  <si>
    <t>Desa Bangsongan</t>
  </si>
  <si>
    <t>Desa Bangsongan Kec. Kayen Kidul Kab. Kediri Peningkatan Jalan Desa Bangsongan Kab. Kediri</t>
  </si>
  <si>
    <t>CV. Maraton Kencana</t>
  </si>
  <si>
    <t>Bpk Yudibrata</t>
  </si>
  <si>
    <t>Bangsal, Kec. Pesantren, Kota Kediri, Jawa Timur 64131</t>
  </si>
  <si>
    <t>Pak Sunar</t>
  </si>
  <si>
    <t>Jl. Marina Emas Barat I No.30, Keputih, Kec. Sukolilo, Surabaya, Jawa Timur 60111</t>
  </si>
  <si>
    <t>Bapak Fredy</t>
  </si>
  <si>
    <t>Jl. Pregolan Bunder No. 15 RT. 02/RW. 02 Tegalsari Surabaya</t>
  </si>
  <si>
    <t>PT Lintang karya sampurna</t>
  </si>
  <si>
    <t>PT PAL Surabaya,Jalan Ujung, Ujung, Kec. Semampir, Surabaya, Jawa Timur 60155</t>
  </si>
  <si>
    <t>Solo Ring Road</t>
  </si>
  <si>
    <t>PROYEK RUMAH KOS</t>
  </si>
  <si>
    <t>JL MELON RAYA KARANGASEM SOLO</t>
  </si>
  <si>
    <t>PT. Amzak</t>
  </si>
  <si>
    <t>PLN Kebon Agung Malang</t>
  </si>
  <si>
    <t>3PV4+V38 Dengkol, Kabupaten Malang, Jawa Timur</t>
  </si>
  <si>
    <t>Bpk. Yusuf (non ppn)</t>
  </si>
  <si>
    <t>Cahyono</t>
  </si>
  <si>
    <t>Bpk Saipul</t>
  </si>
  <si>
    <t>Bpk Muiz</t>
  </si>
  <si>
    <t xml:space="preserve">Jl. Kilisuci  79 D lt 2 Kediri </t>
  </si>
  <si>
    <t>Bpk Sutrisno</t>
  </si>
  <si>
    <t>GG Kediri Unit 12</t>
  </si>
  <si>
    <t>Beton Instant</t>
  </si>
  <si>
    <t>CNP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</si>
</sst>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</numFmts>
  <fonts count="38">
    <font>
      <sz val="11"/>
      <name val="Calibri"/>
      <charset val="134"/>
    </font>
    <font>
      <sz val="11"/>
      <color theme="1"/>
      <name val="Calibri"/>
      <family val="2"/>
      <charset val="1"/>
      <scheme val="minor"/>
    </font>
    <font>
      <sz val="10"/>
      <name val="Arial Mono MT Pro"/>
      <family val="3"/>
    </font>
    <font>
      <sz val="11"/>
      <name val="Adobe Sans MM"/>
    </font>
    <font>
      <sz val="11"/>
      <name val="Calibri"/>
      <family val="2"/>
    </font>
    <font>
      <sz val="10"/>
      <name val="Arial"/>
      <family val="2"/>
    </font>
    <font>
      <b/>
      <sz val="12"/>
      <name val="Adobe Sans MM"/>
    </font>
    <font>
      <b/>
      <sz val="12"/>
      <color rgb="FFFFFF00"/>
      <name val="Adobe Sans MM"/>
    </font>
    <font>
      <b/>
      <sz val="11"/>
      <name val="Arial"/>
      <family val="2"/>
    </font>
    <font>
      <sz val="11"/>
      <name val="Calibri"/>
      <family val="2"/>
    </font>
    <font>
      <sz val="8"/>
      <color rgb="FF0049A2"/>
      <name val="Arial"/>
      <family val="2"/>
    </font>
    <font>
      <sz val="8"/>
      <name val="Calibri"/>
      <family val="2"/>
    </font>
    <font>
      <b/>
      <sz val="20"/>
      <name val="Arial"/>
      <family val="2"/>
    </font>
    <font>
      <sz val="11"/>
      <name val="Arial"/>
      <family val="2"/>
    </font>
    <font>
      <b/>
      <sz val="12"/>
      <color rgb="FFFFFF0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name val="Adobe Sans MM"/>
      <charset val="1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  <charset val="1"/>
    </font>
    <font>
      <sz val="11"/>
      <color indexed="8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indexed="8"/>
      <name val="SCG Light"/>
      <charset val="1"/>
    </font>
    <font>
      <b/>
      <sz val="1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>
      <alignment vertical="center"/>
    </xf>
    <xf numFmtId="164" fontId="4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8" fillId="0" borderId="0"/>
    <xf numFmtId="41" fontId="18" fillId="0" borderId="0" applyFont="0" applyFill="0" applyBorder="0" applyAlignment="0" applyProtection="0"/>
    <xf numFmtId="42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2" fillId="0" borderId="0" xfId="0" applyFont="1">
      <alignment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4" fontId="2" fillId="0" borderId="0" xfId="0" applyNumberFormat="1" applyFont="1">
      <alignment vertical="center"/>
    </xf>
    <xf numFmtId="166" fontId="2" fillId="0" borderId="0" xfId="2" applyNumberFormat="1" applyFont="1" applyBorder="1" applyAlignment="1">
      <alignment vertical="center"/>
    </xf>
    <xf numFmtId="165" fontId="2" fillId="0" borderId="0" xfId="0" applyNumberFormat="1" applyFont="1">
      <alignment vertical="center"/>
    </xf>
    <xf numFmtId="165" fontId="10" fillId="0" borderId="0" xfId="2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3" fillId="0" borderId="7" xfId="0" applyFont="1" applyBorder="1">
      <alignment vertical="center"/>
    </xf>
    <xf numFmtId="0" fontId="5" fillId="0" borderId="0" xfId="0" applyFont="1" applyAlignment="1">
      <alignment horizontal="center" vertical="center"/>
    </xf>
    <xf numFmtId="166" fontId="5" fillId="0" borderId="0" xfId="2" applyNumberFormat="1" applyFont="1" applyBorder="1" applyAlignment="1">
      <alignment vertical="center"/>
    </xf>
    <xf numFmtId="4" fontId="5" fillId="0" borderId="0" xfId="0" applyNumberFormat="1" applyFont="1">
      <alignment vertical="center"/>
    </xf>
    <xf numFmtId="165" fontId="5" fillId="0" borderId="0" xfId="0" applyNumberFormat="1" applyFont="1">
      <alignment vertical="center"/>
    </xf>
    <xf numFmtId="0" fontId="13" fillId="0" borderId="0" xfId="0" applyFont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left" vertical="center"/>
    </xf>
    <xf numFmtId="4" fontId="13" fillId="0" borderId="2" xfId="1" applyNumberFormat="1" applyFont="1" applyFill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left" vertical="center"/>
    </xf>
    <xf numFmtId="4" fontId="16" fillId="0" borderId="2" xfId="0" applyNumberFormat="1" applyFont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left" vertical="center"/>
    </xf>
    <xf numFmtId="0" fontId="8" fillId="2" borderId="0" xfId="0" applyFont="1" applyFill="1">
      <alignment vertical="center"/>
    </xf>
    <xf numFmtId="1" fontId="13" fillId="0" borderId="2" xfId="0" applyNumberFormat="1" applyFont="1" applyBorder="1" applyAlignment="1">
      <alignment horizontal="center" vertical="center"/>
    </xf>
    <xf numFmtId="4" fontId="13" fillId="0" borderId="3" xfId="1" applyNumberFormat="1" applyFont="1" applyFill="1" applyBorder="1" applyAlignment="1">
      <alignment horizontal="center" vertical="center"/>
    </xf>
    <xf numFmtId="4" fontId="13" fillId="0" borderId="2" xfId="1" applyNumberFormat="1" applyFont="1" applyFill="1" applyBorder="1" applyAlignment="1">
      <alignment horizontal="right" vertical="center"/>
    </xf>
    <xf numFmtId="4" fontId="13" fillId="0" borderId="7" xfId="1" applyNumberFormat="1" applyFont="1" applyFill="1" applyBorder="1" applyAlignment="1">
      <alignment horizontal="right" vertical="center"/>
    </xf>
    <xf numFmtId="0" fontId="19" fillId="0" borderId="0" xfId="0" applyFont="1">
      <alignment vertical="center"/>
    </xf>
    <xf numFmtId="165" fontId="20" fillId="0" borderId="0" xfId="2" applyFont="1" applyAlignment="1">
      <alignment horizontal="left" vertical="center"/>
    </xf>
    <xf numFmtId="165" fontId="20" fillId="0" borderId="0" xfId="2" applyFont="1" applyAlignment="1">
      <alignment vertical="center"/>
    </xf>
    <xf numFmtId="0" fontId="20" fillId="0" borderId="0" xfId="0" applyFont="1" applyAlignment="1">
      <alignment horizontal="left" vertical="center"/>
    </xf>
    <xf numFmtId="165" fontId="20" fillId="0" borderId="0" xfId="0" applyNumberFormat="1" applyFont="1" applyAlignment="1">
      <alignment horizontal="left" vertical="center"/>
    </xf>
    <xf numFmtId="165" fontId="21" fillId="0" borderId="0" xfId="2" applyFont="1" applyAlignment="1">
      <alignment vertical="center"/>
    </xf>
    <xf numFmtId="165" fontId="21" fillId="0" borderId="0" xfId="2" applyFont="1" applyAlignment="1">
      <alignment horizontal="center" vertical="center"/>
    </xf>
    <xf numFmtId="0" fontId="22" fillId="0" borderId="0" xfId="0" applyFont="1">
      <alignment vertical="center"/>
    </xf>
    <xf numFmtId="0" fontId="20" fillId="0" borderId="0" xfId="0" applyFont="1">
      <alignment vertical="center"/>
    </xf>
    <xf numFmtId="166" fontId="20" fillId="0" borderId="0" xfId="2" applyNumberFormat="1" applyFont="1" applyBorder="1" applyAlignment="1">
      <alignment vertical="center"/>
    </xf>
    <xf numFmtId="4" fontId="20" fillId="0" borderId="0" xfId="0" applyNumberFormat="1" applyFont="1">
      <alignment vertical="center"/>
    </xf>
    <xf numFmtId="4" fontId="24" fillId="3" borderId="5" xfId="0" applyNumberFormat="1" applyFont="1" applyFill="1" applyBorder="1" applyProtection="1">
      <alignment vertical="center"/>
      <protection locked="0"/>
    </xf>
    <xf numFmtId="0" fontId="25" fillId="0" borderId="0" xfId="0" applyFont="1">
      <alignment vertical="center"/>
    </xf>
    <xf numFmtId="16" fontId="23" fillId="11" borderId="5" xfId="0" applyNumberFormat="1" applyFont="1" applyFill="1" applyBorder="1" applyAlignment="1" applyProtection="1">
      <alignment horizontal="center" vertical="center" wrapText="1"/>
      <protection locked="0"/>
    </xf>
    <xf numFmtId="0" fontId="24" fillId="11" borderId="5" xfId="0" applyFont="1" applyFill="1" applyBorder="1" applyAlignment="1" applyProtection="1">
      <alignment horizontal="center" vertical="center"/>
      <protection locked="0"/>
    </xf>
    <xf numFmtId="16" fontId="23" fillId="11" borderId="5" xfId="0" applyNumberFormat="1" applyFont="1" applyFill="1" applyBorder="1" applyAlignment="1" applyProtection="1">
      <alignment horizontal="center" vertical="center"/>
      <protection locked="0"/>
    </xf>
    <xf numFmtId="4" fontId="24" fillId="11" borderId="5" xfId="0" applyNumberFormat="1" applyFont="1" applyFill="1" applyBorder="1" applyProtection="1">
      <alignment vertical="center"/>
      <protection locked="0"/>
    </xf>
    <xf numFmtId="4" fontId="24" fillId="11" borderId="5" xfId="0" applyNumberFormat="1" applyFont="1" applyFill="1" applyBorder="1" applyAlignment="1" applyProtection="1">
      <alignment horizontal="center" vertical="center"/>
      <protection locked="0"/>
    </xf>
    <xf numFmtId="49" fontId="16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>
      <alignment vertical="center"/>
    </xf>
    <xf numFmtId="49" fontId="13" fillId="0" borderId="5" xfId="0" applyNumberFormat="1" applyFont="1" applyBorder="1" applyAlignment="1">
      <alignment horizontal="left" vertical="center"/>
    </xf>
    <xf numFmtId="2" fontId="7" fillId="4" borderId="2" xfId="0" applyNumberFormat="1" applyFont="1" applyFill="1" applyBorder="1" applyAlignment="1">
      <alignment horizontal="center" vertical="center"/>
    </xf>
    <xf numFmtId="2" fontId="23" fillId="11" borderId="5" xfId="0" applyNumberFormat="1" applyFont="1" applyFill="1" applyBorder="1" applyAlignment="1" applyProtection="1">
      <alignment horizontal="center" vertical="center"/>
      <protection locked="0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>
      <alignment vertical="center"/>
    </xf>
    <xf numFmtId="16" fontId="13" fillId="0" borderId="7" xfId="0" applyNumberFormat="1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2" fontId="13" fillId="0" borderId="7" xfId="0" applyNumberFormat="1" applyFont="1" applyBorder="1" applyAlignment="1">
      <alignment horizontal="right" vertical="center"/>
    </xf>
    <xf numFmtId="0" fontId="8" fillId="0" borderId="0" xfId="0" applyFont="1">
      <alignment vertical="center"/>
    </xf>
    <xf numFmtId="4" fontId="8" fillId="2" borderId="4" xfId="0" applyNumberFormat="1" applyFont="1" applyFill="1" applyBorder="1" applyAlignment="1">
      <alignment horizontal="right" vertical="center"/>
    </xf>
    <xf numFmtId="49" fontId="8" fillId="2" borderId="4" xfId="0" applyNumberFormat="1" applyFont="1" applyFill="1" applyBorder="1" applyAlignment="1">
      <alignment horizontal="right" vertical="center"/>
    </xf>
    <xf numFmtId="4" fontId="8" fillId="2" borderId="4" xfId="1" applyNumberFormat="1" applyFont="1" applyFill="1" applyBorder="1" applyAlignment="1">
      <alignment horizontal="right" vertical="center"/>
    </xf>
    <xf numFmtId="165" fontId="27" fillId="2" borderId="4" xfId="2" applyFont="1" applyFill="1" applyBorder="1" applyAlignment="1">
      <alignment horizontal="right" vertical="center"/>
    </xf>
    <xf numFmtId="4" fontId="23" fillId="3" borderId="5" xfId="0" applyNumberFormat="1" applyFont="1" applyFill="1" applyBorder="1" applyAlignment="1" applyProtection="1">
      <alignment horizontal="right" vertical="center"/>
      <protection locked="0"/>
    </xf>
    <xf numFmtId="4" fontId="13" fillId="0" borderId="5" xfId="1" applyNumberFormat="1" applyFont="1" applyFill="1" applyBorder="1" applyAlignment="1">
      <alignment horizontal="right" vertical="center"/>
    </xf>
    <xf numFmtId="4" fontId="24" fillId="12" borderId="5" xfId="0" applyNumberFormat="1" applyFont="1" applyFill="1" applyBorder="1" applyProtection="1">
      <alignment vertical="center"/>
      <protection locked="0"/>
    </xf>
    <xf numFmtId="4" fontId="28" fillId="3" borderId="5" xfId="0" applyNumberFormat="1" applyFont="1" applyFill="1" applyBorder="1" applyProtection="1">
      <alignment vertical="center"/>
      <protection locked="0"/>
    </xf>
    <xf numFmtId="4" fontId="24" fillId="12" borderId="5" xfId="0" applyNumberFormat="1" applyFont="1" applyFill="1" applyBorder="1" applyAlignment="1" applyProtection="1">
      <alignment horizontal="center" vertical="center"/>
      <protection locked="0"/>
    </xf>
    <xf numFmtId="16" fontId="29" fillId="3" borderId="5" xfId="0" applyNumberFormat="1" applyFont="1" applyFill="1" applyBorder="1" applyAlignment="1" applyProtection="1">
      <alignment horizontal="center" vertical="center"/>
      <protection locked="0"/>
    </xf>
    <xf numFmtId="165" fontId="8" fillId="2" borderId="8" xfId="0" applyNumberFormat="1" applyFont="1" applyFill="1" applyBorder="1" applyAlignment="1">
      <alignment horizontal="right" vertical="center"/>
    </xf>
    <xf numFmtId="2" fontId="13" fillId="0" borderId="5" xfId="0" applyNumberFormat="1" applyFont="1" applyBorder="1" applyAlignment="1">
      <alignment horizontal="right" vertical="center"/>
    </xf>
    <xf numFmtId="1" fontId="21" fillId="0" borderId="5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left" vertical="center"/>
    </xf>
    <xf numFmtId="4" fontId="21" fillId="0" borderId="5" xfId="1" applyNumberFormat="1" applyFont="1" applyFill="1" applyBorder="1" applyAlignment="1">
      <alignment vertical="center"/>
    </xf>
    <xf numFmtId="0" fontId="21" fillId="0" borderId="0" xfId="0" applyFont="1">
      <alignment vertical="center"/>
    </xf>
    <xf numFmtId="49" fontId="21" fillId="0" borderId="2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left" vertical="center"/>
    </xf>
    <xf numFmtId="49" fontId="30" fillId="0" borderId="2" xfId="0" applyNumberFormat="1" applyFont="1" applyBorder="1" applyAlignment="1">
      <alignment horizontal="center" vertical="center"/>
    </xf>
    <xf numFmtId="16" fontId="31" fillId="0" borderId="6" xfId="0" applyNumberFormat="1" applyFont="1" applyBorder="1" applyAlignment="1" applyProtection="1">
      <alignment horizontal="left" vertical="center" readingOrder="1"/>
      <protection locked="0"/>
    </xf>
    <xf numFmtId="49" fontId="30" fillId="0" borderId="5" xfId="0" applyNumberFormat="1" applyFont="1" applyBorder="1">
      <alignment vertical="center"/>
    </xf>
    <xf numFmtId="49" fontId="30" fillId="0" borderId="2" xfId="0" applyNumberFormat="1" applyFont="1" applyBorder="1">
      <alignment vertical="center"/>
    </xf>
    <xf numFmtId="49" fontId="21" fillId="0" borderId="5" xfId="0" applyNumberFormat="1" applyFont="1" applyBorder="1">
      <alignment vertical="center"/>
    </xf>
    <xf numFmtId="2" fontId="31" fillId="0" borderId="6" xfId="0" applyNumberFormat="1" applyFont="1" applyBorder="1" applyAlignment="1" applyProtection="1">
      <alignment horizontal="right" vertical="center" wrapText="1" readingOrder="1"/>
      <protection locked="0"/>
    </xf>
    <xf numFmtId="2" fontId="31" fillId="0" borderId="6" xfId="0" applyNumberFormat="1" applyFont="1" applyBorder="1" applyAlignment="1" applyProtection="1">
      <alignment horizontal="left" vertical="center" wrapText="1" readingOrder="1"/>
      <protection locked="0"/>
    </xf>
    <xf numFmtId="4" fontId="21" fillId="10" borderId="5" xfId="1" applyNumberFormat="1" applyFont="1" applyFill="1" applyBorder="1" applyAlignment="1">
      <alignment vertical="center"/>
    </xf>
    <xf numFmtId="4" fontId="30" fillId="0" borderId="2" xfId="1" applyNumberFormat="1" applyFont="1" applyFill="1" applyBorder="1" applyAlignment="1">
      <alignment vertical="center"/>
    </xf>
    <xf numFmtId="4" fontId="21" fillId="10" borderId="2" xfId="1" applyNumberFormat="1" applyFont="1" applyFill="1" applyBorder="1" applyAlignment="1">
      <alignment vertical="center"/>
    </xf>
    <xf numFmtId="4" fontId="21" fillId="0" borderId="2" xfId="1" applyNumberFormat="1" applyFont="1" applyFill="1" applyBorder="1" applyAlignment="1">
      <alignment vertical="center"/>
    </xf>
    <xf numFmtId="4" fontId="21" fillId="0" borderId="2" xfId="0" applyNumberFormat="1" applyFont="1" applyBorder="1">
      <alignment vertical="center"/>
    </xf>
    <xf numFmtId="0" fontId="21" fillId="7" borderId="0" xfId="0" applyFont="1" applyFill="1">
      <alignment vertical="center"/>
    </xf>
    <xf numFmtId="1" fontId="21" fillId="0" borderId="2" xfId="0" applyNumberFormat="1" applyFont="1" applyBorder="1" applyAlignment="1">
      <alignment horizontal="center" vertical="center"/>
    </xf>
    <xf numFmtId="0" fontId="32" fillId="0" borderId="0" xfId="0" applyFont="1">
      <alignment vertical="center"/>
    </xf>
    <xf numFmtId="0" fontId="32" fillId="7" borderId="0" xfId="0" applyFont="1" applyFill="1">
      <alignment vertical="center"/>
    </xf>
    <xf numFmtId="0" fontId="30" fillId="0" borderId="0" xfId="0" applyFont="1">
      <alignment vertical="center"/>
    </xf>
    <xf numFmtId="0" fontId="30" fillId="7" borderId="0" xfId="0" applyFont="1" applyFill="1">
      <alignment vertical="center"/>
    </xf>
    <xf numFmtId="49" fontId="21" fillId="0" borderId="5" xfId="0" applyNumberFormat="1" applyFont="1" applyBorder="1" applyAlignment="1">
      <alignment horizontal="center" vertical="center"/>
    </xf>
    <xf numFmtId="16" fontId="33" fillId="0" borderId="2" xfId="0" applyNumberFormat="1" applyFont="1" applyBorder="1" applyAlignment="1" applyProtection="1">
      <alignment horizontal="center" vertical="center" readingOrder="1"/>
      <protection locked="0"/>
    </xf>
    <xf numFmtId="4" fontId="30" fillId="0" borderId="2" xfId="0" applyNumberFormat="1" applyFont="1" applyBorder="1" applyAlignment="1">
      <alignment horizontal="right" vertical="center"/>
    </xf>
    <xf numFmtId="4" fontId="21" fillId="0" borderId="2" xfId="1" applyNumberFormat="1" applyFont="1" applyFill="1" applyBorder="1" applyAlignment="1">
      <alignment horizontal="center" vertical="center"/>
    </xf>
    <xf numFmtId="4" fontId="30" fillId="0" borderId="2" xfId="1" applyNumberFormat="1" applyFont="1" applyFill="1" applyBorder="1" applyAlignment="1">
      <alignment horizontal="center" vertical="center"/>
    </xf>
    <xf numFmtId="4" fontId="21" fillId="0" borderId="5" xfId="1" applyNumberFormat="1" applyFont="1" applyFill="1" applyBorder="1" applyAlignment="1">
      <alignment horizontal="center" vertical="center"/>
    </xf>
    <xf numFmtId="4" fontId="21" fillId="0" borderId="2" xfId="0" applyNumberFormat="1" applyFont="1" applyBorder="1" applyAlignment="1">
      <alignment horizontal="center" vertical="center"/>
    </xf>
    <xf numFmtId="49" fontId="34" fillId="2" borderId="2" xfId="0" applyNumberFormat="1" applyFont="1" applyFill="1" applyBorder="1" applyAlignment="1">
      <alignment horizontal="center" vertical="center"/>
    </xf>
    <xf numFmtId="49" fontId="35" fillId="2" borderId="6" xfId="0" applyNumberFormat="1" applyFont="1" applyFill="1" applyBorder="1" applyAlignment="1">
      <alignment horizontal="center" vertical="center"/>
    </xf>
    <xf numFmtId="49" fontId="35" fillId="2" borderId="2" xfId="0" applyNumberFormat="1" applyFont="1" applyFill="1" applyBorder="1" applyAlignment="1">
      <alignment horizontal="center" vertical="center"/>
    </xf>
    <xf numFmtId="49" fontId="34" fillId="2" borderId="5" xfId="0" applyNumberFormat="1" applyFont="1" applyFill="1" applyBorder="1" applyAlignment="1">
      <alignment horizontal="left" vertical="center"/>
    </xf>
    <xf numFmtId="4" fontId="35" fillId="2" borderId="6" xfId="0" applyNumberFormat="1" applyFont="1" applyFill="1" applyBorder="1" applyAlignment="1">
      <alignment horizontal="right" vertical="center"/>
    </xf>
    <xf numFmtId="49" fontId="34" fillId="2" borderId="2" xfId="0" applyNumberFormat="1" applyFont="1" applyFill="1" applyBorder="1" applyAlignment="1">
      <alignment horizontal="right" vertical="center"/>
    </xf>
    <xf numFmtId="4" fontId="36" fillId="2" borderId="5" xfId="1" applyNumberFormat="1" applyFont="1" applyFill="1" applyBorder="1" applyAlignment="1">
      <alignment horizontal="right" vertical="center"/>
    </xf>
    <xf numFmtId="4" fontId="36" fillId="2" borderId="2" xfId="1" applyNumberFormat="1" applyFont="1" applyFill="1" applyBorder="1" applyAlignment="1">
      <alignment horizontal="right" vertical="center"/>
    </xf>
    <xf numFmtId="4" fontId="34" fillId="2" borderId="2" xfId="1" applyNumberFormat="1" applyFont="1" applyFill="1" applyBorder="1" applyAlignment="1">
      <alignment horizontal="right" vertical="center"/>
    </xf>
    <xf numFmtId="4" fontId="34" fillId="2" borderId="5" xfId="1" applyNumberFormat="1" applyFont="1" applyFill="1" applyBorder="1" applyAlignment="1">
      <alignment horizontal="right" vertical="center"/>
    </xf>
    <xf numFmtId="165" fontId="36" fillId="2" borderId="5" xfId="2" applyFont="1" applyFill="1" applyBorder="1" applyAlignment="1">
      <alignment horizontal="right" vertical="center"/>
    </xf>
    <xf numFmtId="4" fontId="34" fillId="2" borderId="2" xfId="0" applyNumberFormat="1" applyFont="1" applyFill="1" applyBorder="1" applyAlignment="1">
      <alignment horizontal="right" vertical="center"/>
    </xf>
    <xf numFmtId="16" fontId="37" fillId="0" borderId="6" xfId="0" applyNumberFormat="1" applyFont="1" applyBorder="1" applyAlignment="1" applyProtection="1">
      <alignment horizontal="left" vertical="center" readingOrder="1"/>
      <protection locked="0"/>
    </xf>
    <xf numFmtId="4" fontId="13" fillId="0" borderId="2" xfId="0" applyNumberFormat="1" applyFont="1" applyBorder="1" applyAlignment="1">
      <alignment horizontal="right" vertical="center"/>
    </xf>
    <xf numFmtId="49" fontId="26" fillId="2" borderId="4" xfId="0" applyNumberFormat="1" applyFont="1" applyFill="1" applyBorder="1" applyAlignment="1">
      <alignment horizontal="center" vertical="center"/>
    </xf>
    <xf numFmtId="4" fontId="26" fillId="2" borderId="4" xfId="0" applyNumberFormat="1" applyFont="1" applyFill="1" applyBorder="1" applyAlignment="1">
      <alignment horizontal="right" vertical="center"/>
    </xf>
    <xf numFmtId="1" fontId="13" fillId="0" borderId="5" xfId="0" applyNumberFormat="1" applyFont="1" applyBorder="1" applyAlignment="1">
      <alignment horizontal="center" vertical="center"/>
    </xf>
    <xf numFmtId="16" fontId="13" fillId="0" borderId="6" xfId="0" applyNumberFormat="1" applyFont="1" applyBorder="1" applyAlignment="1" applyProtection="1">
      <alignment horizontal="left" vertical="center" readingOrder="1"/>
      <protection locked="0"/>
    </xf>
    <xf numFmtId="4" fontId="13" fillId="0" borderId="5" xfId="0" applyNumberFormat="1" applyFont="1" applyBorder="1" applyAlignment="1">
      <alignment horizontal="right" vertical="center"/>
    </xf>
    <xf numFmtId="4" fontId="13" fillId="0" borderId="6" xfId="0" applyNumberFormat="1" applyFont="1" applyBorder="1" applyAlignment="1">
      <alignment horizontal="right" vertical="center"/>
    </xf>
    <xf numFmtId="0" fontId="13" fillId="3" borderId="0" xfId="0" applyFont="1" applyFill="1">
      <alignment vertical="center"/>
    </xf>
    <xf numFmtId="0" fontId="13" fillId="0" borderId="2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49" fontId="16" fillId="0" borderId="5" xfId="0" applyNumberFormat="1" applyFont="1" applyBorder="1" applyAlignment="1">
      <alignment horizontal="left" vertical="center"/>
    </xf>
    <xf numFmtId="4" fontId="13" fillId="0" borderId="5" xfId="0" applyNumberFormat="1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4" fontId="13" fillId="0" borderId="5" xfId="1" applyNumberFormat="1" applyFont="1" applyFill="1" applyBorder="1" applyAlignment="1">
      <alignment horizontal="center" vertical="center"/>
    </xf>
    <xf numFmtId="0" fontId="13" fillId="0" borderId="2" xfId="0" applyFont="1" applyBorder="1">
      <alignment vertical="center"/>
    </xf>
    <xf numFmtId="49" fontId="26" fillId="2" borderId="4" xfId="0" applyNumberFormat="1" applyFont="1" applyFill="1" applyBorder="1" applyAlignment="1">
      <alignment horizontal="left" vertical="center"/>
    </xf>
    <xf numFmtId="49" fontId="26" fillId="2" borderId="4" xfId="0" applyNumberFormat="1" applyFont="1" applyFill="1" applyBorder="1" applyAlignment="1">
      <alignment horizontal="right" vertical="center"/>
    </xf>
    <xf numFmtId="0" fontId="13" fillId="8" borderId="0" xfId="0" applyFont="1" applyFill="1">
      <alignment vertical="center"/>
    </xf>
    <xf numFmtId="49" fontId="13" fillId="0" borderId="7" xfId="0" applyNumberFormat="1" applyFont="1" applyBorder="1" applyAlignment="1">
      <alignment horizontal="left" vertical="center"/>
    </xf>
    <xf numFmtId="4" fontId="13" fillId="0" borderId="7" xfId="0" applyNumberFormat="1" applyFont="1" applyBorder="1" applyAlignment="1">
      <alignment horizontal="right" vertical="center"/>
    </xf>
    <xf numFmtId="4" fontId="16" fillId="0" borderId="5" xfId="1" applyNumberFormat="1" applyFont="1" applyFill="1" applyBorder="1" applyAlignment="1">
      <alignment horizontal="right" vertical="center"/>
    </xf>
    <xf numFmtId="4" fontId="16" fillId="0" borderId="2" xfId="1" applyNumberFormat="1" applyFont="1" applyFill="1" applyBorder="1" applyAlignment="1">
      <alignment horizontal="right" vertical="center"/>
    </xf>
    <xf numFmtId="49" fontId="13" fillId="0" borderId="7" xfId="0" applyNumberFormat="1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2" fontId="8" fillId="2" borderId="4" xfId="0" applyNumberFormat="1" applyFont="1" applyFill="1" applyBorder="1" applyAlignment="1">
      <alignment horizontal="center" vertical="center"/>
    </xf>
    <xf numFmtId="4" fontId="26" fillId="2" borderId="4" xfId="1" applyNumberFormat="1" applyFont="1" applyFill="1" applyBorder="1" applyAlignment="1">
      <alignment horizontal="right" vertical="center"/>
    </xf>
    <xf numFmtId="4" fontId="13" fillId="0" borderId="0" xfId="0" applyNumberFormat="1" applyFont="1">
      <alignment vertical="center"/>
    </xf>
    <xf numFmtId="0" fontId="13" fillId="9" borderId="0" xfId="0" applyFont="1" applyFill="1">
      <alignment vertical="center"/>
    </xf>
    <xf numFmtId="1" fontId="13" fillId="2" borderId="5" xfId="0" applyNumberFormat="1" applyFont="1" applyFill="1" applyBorder="1" applyAlignment="1">
      <alignment horizontal="center" vertical="center"/>
    </xf>
    <xf numFmtId="16" fontId="13" fillId="2" borderId="6" xfId="0" applyNumberFormat="1" applyFont="1" applyFill="1" applyBorder="1" applyAlignment="1" applyProtection="1">
      <alignment horizontal="left" vertical="center" readingOrder="1"/>
      <protection locked="0"/>
    </xf>
    <xf numFmtId="49" fontId="13" fillId="2" borderId="5" xfId="0" applyNumberFormat="1" applyFont="1" applyFill="1" applyBorder="1" applyAlignment="1">
      <alignment horizontal="left" vertical="center"/>
    </xf>
    <xf numFmtId="49" fontId="13" fillId="2" borderId="2" xfId="0" applyNumberFormat="1" applyFont="1" applyFill="1" applyBorder="1" applyAlignment="1">
      <alignment horizontal="left" vertical="center"/>
    </xf>
    <xf numFmtId="4" fontId="13" fillId="2" borderId="2" xfId="0" applyNumberFormat="1" applyFont="1" applyFill="1" applyBorder="1" applyAlignment="1">
      <alignment horizontal="right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</cellXfs>
  <cellStyles count="14">
    <cellStyle name="Comma" xfId="2" builtinId="3"/>
    <cellStyle name="Comma [0]" xfId="1" builtinId="6"/>
    <cellStyle name="Comma [0] 2" xfId="4" xr:uid="{862B7F58-EABF-4B14-845C-89C9A22533FD}"/>
    <cellStyle name="Comma 2" xfId="6" xr:uid="{D015FFB2-E93B-41CB-B955-7A7684F764D9}"/>
    <cellStyle name="Comma 3" xfId="8" xr:uid="{38269229-3FC2-4B41-81D4-5DADEFA74D2F}"/>
    <cellStyle name="Comma 4" xfId="11" xr:uid="{37DBAF2C-EDD7-47B6-83CE-4BEB94489C88}"/>
    <cellStyle name="Comma 5" xfId="10" xr:uid="{FA9C2F95-45C6-4E1A-8B99-B3594DF58083}"/>
    <cellStyle name="Comma 6" xfId="12" xr:uid="{5A1B4B60-3FFD-41F6-8A48-D65190FFEE15}"/>
    <cellStyle name="Comma 7" xfId="13" xr:uid="{C59094D4-7ED4-47E6-A38F-40177E022FB7}"/>
    <cellStyle name="Currency [0] 2" xfId="5" xr:uid="{321D1C21-77FB-4444-AE63-DADB3A63F3DA}"/>
    <cellStyle name="Normal" xfId="0" builtinId="0"/>
    <cellStyle name="Normal 2" xfId="3" xr:uid="{94FB169A-8EE3-4AA2-A419-71A9117A8395}"/>
    <cellStyle name="Normal 3" xfId="7" xr:uid="{88C843A7-0EB9-4CB5-9B8E-EF4F42A2C6AF}"/>
    <cellStyle name="Percent 2" xfId="9" xr:uid="{194B5F55-DDAD-4BCD-8A8C-A8E59D747CCB}"/>
  </cellStyles>
  <dxfs count="0"/>
  <tableStyles count="0" defaultTableStyle="TableStyleMedium2" defaultPivotStyle="PivotStyleLight16"/>
  <colors>
    <mruColors>
      <color rgb="FFFFFF37"/>
      <color rgb="FF66FFFF"/>
      <color rgb="FFFFFF66"/>
      <color rgb="FF00FF00"/>
      <color rgb="FF9933FF"/>
      <color rgb="FFFF6600"/>
      <color rgb="FFFFFF00"/>
      <color rgb="FF66FF33"/>
      <color rgb="FFFF66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"/>
  <sheetViews>
    <sheetView view="pageBreakPreview" zoomScale="85" zoomScaleNormal="100" zoomScaleSheetLayoutView="85" workbookViewId="0">
      <pane xSplit="8" ySplit="2" topLeftCell="T3" activePane="bottomRight" state="frozen"/>
      <selection pane="topRight" activeCell="G1" sqref="G1"/>
      <selection pane="bottomLeft" activeCell="A2" sqref="A2"/>
      <selection pane="bottomRight" activeCell="U4" sqref="U4"/>
    </sheetView>
  </sheetViews>
  <sheetFormatPr defaultColWidth="9.109375" defaultRowHeight="13.8"/>
  <cols>
    <col min="1" max="1" width="5.77734375" style="20" customWidth="1"/>
    <col min="2" max="2" width="10.77734375" style="20" customWidth="1"/>
    <col min="3" max="3" width="14.77734375" style="36" customWidth="1"/>
    <col min="4" max="4" width="13.77734375" style="36" customWidth="1"/>
    <col min="5" max="5" width="30.77734375" style="20" customWidth="1"/>
    <col min="6" max="6" width="50.77734375" style="20" customWidth="1"/>
    <col min="7" max="7" width="10.77734375" style="20" customWidth="1"/>
    <col min="8" max="8" width="14.77734375" style="20" customWidth="1"/>
    <col min="9" max="11" width="15.44140625" style="20" customWidth="1"/>
    <col min="12" max="12" width="16.77734375" style="20" customWidth="1"/>
    <col min="13" max="15" width="15.44140625" style="20" customWidth="1"/>
    <col min="16" max="16" width="16.77734375" style="20" customWidth="1"/>
    <col min="17" max="19" width="15.44140625" style="20" customWidth="1"/>
    <col min="20" max="20" width="16.77734375" style="20" customWidth="1"/>
    <col min="21" max="25" width="15.44140625" style="20" customWidth="1"/>
    <col min="26" max="16384" width="9.109375" style="20"/>
  </cols>
  <sheetData>
    <row r="1" spans="1:40" ht="24.6">
      <c r="A1" s="169" t="s">
        <v>65</v>
      </c>
      <c r="B1" s="169"/>
      <c r="C1" s="170"/>
      <c r="D1" s="170"/>
      <c r="E1" s="169"/>
      <c r="F1" s="169"/>
      <c r="G1" s="169"/>
      <c r="H1" s="169"/>
    </row>
    <row r="2" spans="1:40" s="30" customFormat="1" ht="59.25" customHeight="1">
      <c r="A2" s="21" t="s">
        <v>18</v>
      </c>
      <c r="B2" s="21" t="s">
        <v>20</v>
      </c>
      <c r="C2" s="22" t="s">
        <v>6</v>
      </c>
      <c r="D2" s="22" t="s">
        <v>4</v>
      </c>
      <c r="E2" s="22" t="s">
        <v>5</v>
      </c>
      <c r="F2" s="21" t="s">
        <v>0</v>
      </c>
      <c r="G2" s="22" t="s">
        <v>7</v>
      </c>
      <c r="H2" s="21" t="s">
        <v>1</v>
      </c>
      <c r="I2" s="23" t="s">
        <v>8</v>
      </c>
      <c r="J2" s="23" t="s">
        <v>10</v>
      </c>
      <c r="K2" s="24" t="s">
        <v>24</v>
      </c>
      <c r="L2" s="24" t="s">
        <v>12</v>
      </c>
      <c r="M2" s="25" t="s">
        <v>2</v>
      </c>
      <c r="N2" s="25" t="s">
        <v>10</v>
      </c>
      <c r="O2" s="26" t="s">
        <v>24</v>
      </c>
      <c r="P2" s="26" t="s">
        <v>13</v>
      </c>
      <c r="Q2" s="27" t="s">
        <v>33</v>
      </c>
      <c r="R2" s="28" t="s">
        <v>10</v>
      </c>
      <c r="S2" s="27" t="s">
        <v>24</v>
      </c>
      <c r="T2" s="27" t="s">
        <v>32</v>
      </c>
      <c r="U2" s="29" t="s">
        <v>9</v>
      </c>
      <c r="V2" s="23" t="s">
        <v>15</v>
      </c>
      <c r="W2" s="24" t="s">
        <v>14</v>
      </c>
      <c r="X2" s="24" t="s">
        <v>17</v>
      </c>
      <c r="Y2" s="24" t="s">
        <v>16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spans="1:40" ht="21" customHeight="1">
      <c r="A3" s="46">
        <v>1</v>
      </c>
      <c r="B3" s="76">
        <v>46114</v>
      </c>
      <c r="C3" s="41" t="s">
        <v>36</v>
      </c>
      <c r="D3" s="77" t="s">
        <v>2</v>
      </c>
      <c r="E3" s="77" t="s">
        <v>42</v>
      </c>
      <c r="F3" s="77" t="s">
        <v>45</v>
      </c>
      <c r="G3" s="78">
        <v>8</v>
      </c>
      <c r="H3" s="38" t="s">
        <v>26</v>
      </c>
      <c r="I3" s="48">
        <v>879999.99999999988</v>
      </c>
      <c r="J3" s="48">
        <f t="shared" ref="J3:J12" si="0">I3*11%</f>
        <v>96799.999999999985</v>
      </c>
      <c r="K3" s="48">
        <f t="shared" ref="K3:K12" si="1">I3+J3</f>
        <v>976799.99999999988</v>
      </c>
      <c r="L3" s="48">
        <f t="shared" ref="L3:L12" si="2">K3*G3</f>
        <v>7814399.9999999991</v>
      </c>
      <c r="M3" s="48">
        <v>879999.99999999988</v>
      </c>
      <c r="N3" s="48">
        <f t="shared" ref="N3:N12" si="3">M3*11%</f>
        <v>96799.999999999985</v>
      </c>
      <c r="O3" s="48">
        <f t="shared" ref="O3:O12" si="4">M3+N3</f>
        <v>976799.99999999988</v>
      </c>
      <c r="P3" s="48">
        <f t="shared" ref="P3:P12" si="5">O3*G3</f>
        <v>7814399.9999999991</v>
      </c>
      <c r="Q3" s="48">
        <v>760000</v>
      </c>
      <c r="R3" s="48">
        <f t="shared" ref="R3:R12" si="6">Q3*11%</f>
        <v>83600</v>
      </c>
      <c r="S3" s="48">
        <f t="shared" ref="S3:S12" si="7">Q3+R3</f>
        <v>843600</v>
      </c>
      <c r="T3" s="48">
        <f>S3*G3</f>
        <v>6748800</v>
      </c>
      <c r="U3" s="48">
        <f>15000*12</f>
        <v>180000</v>
      </c>
      <c r="V3" s="48">
        <f>M3-Q3</f>
        <v>119999.99999999988</v>
      </c>
      <c r="W3" s="48">
        <f t="shared" ref="W3:W12" si="8">(M3-Q3)*G3</f>
        <v>959999.99999999907</v>
      </c>
      <c r="X3" s="48">
        <v>0</v>
      </c>
      <c r="Y3" s="48">
        <f t="shared" ref="Y3:Y12" si="9">G3*X3</f>
        <v>0</v>
      </c>
    </row>
    <row r="4" spans="1:40" ht="21" customHeight="1">
      <c r="A4" s="46">
        <v>2</v>
      </c>
      <c r="B4" s="76">
        <v>46123</v>
      </c>
      <c r="C4" s="41" t="s">
        <v>36</v>
      </c>
      <c r="D4" s="77" t="s">
        <v>43</v>
      </c>
      <c r="E4" s="77" t="s">
        <v>125</v>
      </c>
      <c r="F4" s="77" t="s">
        <v>126</v>
      </c>
      <c r="G4" s="78">
        <v>4</v>
      </c>
      <c r="H4" s="38" t="s">
        <v>27</v>
      </c>
      <c r="I4" s="48">
        <v>792792.79279279266</v>
      </c>
      <c r="J4" s="48">
        <f t="shared" si="0"/>
        <v>87207.20720720719</v>
      </c>
      <c r="K4" s="48">
        <f t="shared" si="1"/>
        <v>879999.99999999988</v>
      </c>
      <c r="L4" s="48">
        <f t="shared" si="2"/>
        <v>3519999.9999999995</v>
      </c>
      <c r="M4" s="48">
        <v>770000</v>
      </c>
      <c r="N4" s="48">
        <f t="shared" si="3"/>
        <v>84700</v>
      </c>
      <c r="O4" s="48">
        <f t="shared" si="4"/>
        <v>854700</v>
      </c>
      <c r="P4" s="48">
        <f t="shared" si="5"/>
        <v>3418800</v>
      </c>
      <c r="Q4" s="48">
        <v>740000</v>
      </c>
      <c r="R4" s="48">
        <f t="shared" si="6"/>
        <v>81400</v>
      </c>
      <c r="S4" s="48">
        <f t="shared" si="7"/>
        <v>821400</v>
      </c>
      <c r="T4" s="48">
        <f t="shared" ref="T4:T12" si="10">S4*G4</f>
        <v>3285600</v>
      </c>
      <c r="U4" s="48">
        <f t="shared" ref="U4:U12" si="11">(I4-M4)*G4</f>
        <v>91171.171171170659</v>
      </c>
      <c r="V4" s="48">
        <f t="shared" ref="V4:V12" si="12">M4-Q4</f>
        <v>30000</v>
      </c>
      <c r="W4" s="48">
        <f t="shared" si="8"/>
        <v>120000</v>
      </c>
      <c r="X4" s="48">
        <v>0</v>
      </c>
      <c r="Y4" s="48">
        <f t="shared" si="9"/>
        <v>0</v>
      </c>
    </row>
    <row r="5" spans="1:40" s="50" customFormat="1" ht="21" customHeight="1">
      <c r="A5" s="46">
        <v>3</v>
      </c>
      <c r="B5" s="76">
        <v>46128</v>
      </c>
      <c r="C5" s="41" t="s">
        <v>36</v>
      </c>
      <c r="D5" s="77" t="s">
        <v>43</v>
      </c>
      <c r="E5" s="77" t="s">
        <v>125</v>
      </c>
      <c r="F5" s="77" t="s">
        <v>126</v>
      </c>
      <c r="G5" s="78">
        <v>5</v>
      </c>
      <c r="H5" s="38" t="s">
        <v>27</v>
      </c>
      <c r="I5" s="48">
        <v>792792.79279279266</v>
      </c>
      <c r="J5" s="48">
        <f t="shared" si="0"/>
        <v>87207.20720720719</v>
      </c>
      <c r="K5" s="48">
        <f t="shared" si="1"/>
        <v>879999.99999999988</v>
      </c>
      <c r="L5" s="48">
        <f t="shared" si="2"/>
        <v>4399999.9999999991</v>
      </c>
      <c r="M5" s="48">
        <v>770000</v>
      </c>
      <c r="N5" s="48">
        <f t="shared" si="3"/>
        <v>84700</v>
      </c>
      <c r="O5" s="48">
        <f t="shared" si="4"/>
        <v>854700</v>
      </c>
      <c r="P5" s="48">
        <f t="shared" si="5"/>
        <v>4273500</v>
      </c>
      <c r="Q5" s="48">
        <v>740000</v>
      </c>
      <c r="R5" s="48">
        <f t="shared" si="6"/>
        <v>81400</v>
      </c>
      <c r="S5" s="48">
        <f t="shared" si="7"/>
        <v>821400</v>
      </c>
      <c r="T5" s="48">
        <f t="shared" si="10"/>
        <v>4107000</v>
      </c>
      <c r="U5" s="48">
        <f t="shared" si="11"/>
        <v>113963.96396396332</v>
      </c>
      <c r="V5" s="48">
        <f t="shared" si="12"/>
        <v>30000</v>
      </c>
      <c r="W5" s="48">
        <f t="shared" si="8"/>
        <v>150000</v>
      </c>
      <c r="X5" s="48">
        <v>0</v>
      </c>
      <c r="Y5" s="48">
        <f t="shared" si="9"/>
        <v>0</v>
      </c>
      <c r="Z5" s="20"/>
      <c r="AA5" s="20"/>
      <c r="AB5" s="20"/>
      <c r="AC5" s="20"/>
      <c r="AD5" s="20"/>
      <c r="AE5" s="20"/>
      <c r="AF5" s="20"/>
      <c r="AG5" s="20"/>
    </row>
    <row r="6" spans="1:40" ht="21" customHeight="1">
      <c r="A6" s="46">
        <v>4</v>
      </c>
      <c r="B6" s="76">
        <v>46132</v>
      </c>
      <c r="C6" s="41" t="s">
        <v>36</v>
      </c>
      <c r="D6" s="77" t="s">
        <v>2</v>
      </c>
      <c r="E6" s="77" t="s">
        <v>128</v>
      </c>
      <c r="F6" s="77" t="s">
        <v>127</v>
      </c>
      <c r="G6" s="78">
        <v>13</v>
      </c>
      <c r="H6" s="38" t="s">
        <v>25</v>
      </c>
      <c r="I6" s="48">
        <v>780000</v>
      </c>
      <c r="J6" s="48">
        <f t="shared" si="0"/>
        <v>85800</v>
      </c>
      <c r="K6" s="48">
        <f t="shared" si="1"/>
        <v>865800</v>
      </c>
      <c r="L6" s="48">
        <f t="shared" si="2"/>
        <v>11255400</v>
      </c>
      <c r="M6" s="48">
        <v>780000</v>
      </c>
      <c r="N6" s="48">
        <f t="shared" si="3"/>
        <v>85800</v>
      </c>
      <c r="O6" s="48">
        <f t="shared" si="4"/>
        <v>865800</v>
      </c>
      <c r="P6" s="48">
        <f t="shared" si="5"/>
        <v>11255400</v>
      </c>
      <c r="Q6" s="48">
        <v>750000</v>
      </c>
      <c r="R6" s="48">
        <f t="shared" si="6"/>
        <v>82500</v>
      </c>
      <c r="S6" s="48">
        <f t="shared" si="7"/>
        <v>832500</v>
      </c>
      <c r="T6" s="48">
        <f t="shared" si="10"/>
        <v>10822500</v>
      </c>
      <c r="U6" s="48">
        <f t="shared" si="11"/>
        <v>0</v>
      </c>
      <c r="V6" s="48">
        <f t="shared" si="12"/>
        <v>30000</v>
      </c>
      <c r="W6" s="48">
        <f t="shared" si="8"/>
        <v>390000</v>
      </c>
      <c r="X6" s="48">
        <v>0</v>
      </c>
      <c r="Y6" s="48">
        <f t="shared" si="9"/>
        <v>0</v>
      </c>
    </row>
    <row r="7" spans="1:40" ht="21" customHeight="1">
      <c r="A7" s="46">
        <v>5</v>
      </c>
      <c r="B7" s="76">
        <v>46137</v>
      </c>
      <c r="C7" s="41" t="s">
        <v>36</v>
      </c>
      <c r="D7" s="77" t="s">
        <v>43</v>
      </c>
      <c r="E7" s="77" t="s">
        <v>125</v>
      </c>
      <c r="F7" s="77" t="s">
        <v>126</v>
      </c>
      <c r="G7" s="78">
        <v>7</v>
      </c>
      <c r="H7" s="38" t="s">
        <v>27</v>
      </c>
      <c r="I7" s="48">
        <v>792792.79279279266</v>
      </c>
      <c r="J7" s="48">
        <f t="shared" ref="J7:J11" si="13">I7*11%</f>
        <v>87207.20720720719</v>
      </c>
      <c r="K7" s="48">
        <f t="shared" ref="K7:K11" si="14">I7+J7</f>
        <v>879999.99999999988</v>
      </c>
      <c r="L7" s="48">
        <f t="shared" ref="L7:L11" si="15">K7*G7</f>
        <v>6159999.9999999991</v>
      </c>
      <c r="M7" s="48">
        <v>770000</v>
      </c>
      <c r="N7" s="48">
        <f t="shared" ref="N7:N11" si="16">M7*11%</f>
        <v>84700</v>
      </c>
      <c r="O7" s="48">
        <f t="shared" ref="O7:O11" si="17">M7+N7</f>
        <v>854700</v>
      </c>
      <c r="P7" s="48">
        <f t="shared" ref="P7:P11" si="18">O7*G7</f>
        <v>5982900</v>
      </c>
      <c r="Q7" s="48">
        <v>740000</v>
      </c>
      <c r="R7" s="48">
        <f t="shared" ref="R7:R11" si="19">Q7*11%</f>
        <v>81400</v>
      </c>
      <c r="S7" s="48">
        <f t="shared" ref="S7:S11" si="20">Q7+R7</f>
        <v>821400</v>
      </c>
      <c r="T7" s="48">
        <f t="shared" ref="T7:T11" si="21">S7*G7</f>
        <v>5749800</v>
      </c>
      <c r="U7" s="48">
        <f t="shared" si="11"/>
        <v>159549.54954954865</v>
      </c>
      <c r="V7" s="48">
        <f t="shared" si="12"/>
        <v>30000</v>
      </c>
      <c r="W7" s="48">
        <f t="shared" si="8"/>
        <v>210000</v>
      </c>
      <c r="X7" s="48">
        <v>0</v>
      </c>
      <c r="Y7" s="48">
        <f t="shared" si="9"/>
        <v>0</v>
      </c>
    </row>
    <row r="8" spans="1:40" ht="21" customHeight="1">
      <c r="A8" s="46">
        <v>6</v>
      </c>
      <c r="B8" s="76">
        <v>46141</v>
      </c>
      <c r="C8" s="41" t="s">
        <v>36</v>
      </c>
      <c r="D8" s="77" t="s">
        <v>43</v>
      </c>
      <c r="E8" s="77" t="s">
        <v>41</v>
      </c>
      <c r="F8" s="77" t="s">
        <v>44</v>
      </c>
      <c r="G8" s="78">
        <v>16</v>
      </c>
      <c r="H8" s="38" t="s">
        <v>47</v>
      </c>
      <c r="I8" s="48">
        <v>801801.80180180178</v>
      </c>
      <c r="J8" s="48">
        <f t="shared" si="13"/>
        <v>88198.198198198195</v>
      </c>
      <c r="K8" s="48">
        <f t="shared" si="14"/>
        <v>890000</v>
      </c>
      <c r="L8" s="48">
        <f t="shared" si="15"/>
        <v>14240000</v>
      </c>
      <c r="M8" s="48">
        <v>779999.99999999988</v>
      </c>
      <c r="N8" s="48">
        <f t="shared" si="16"/>
        <v>85799.999999999985</v>
      </c>
      <c r="O8" s="48">
        <f t="shared" si="17"/>
        <v>865799.99999999988</v>
      </c>
      <c r="P8" s="48">
        <f t="shared" si="18"/>
        <v>13852799.999999998</v>
      </c>
      <c r="Q8" s="48">
        <v>760000</v>
      </c>
      <c r="R8" s="48">
        <f t="shared" si="19"/>
        <v>83600</v>
      </c>
      <c r="S8" s="48">
        <f t="shared" si="20"/>
        <v>843600</v>
      </c>
      <c r="T8" s="48">
        <f t="shared" si="21"/>
        <v>13497600</v>
      </c>
      <c r="U8" s="48">
        <f t="shared" si="11"/>
        <v>348828.82882883027</v>
      </c>
      <c r="V8" s="48">
        <f t="shared" si="12"/>
        <v>19999.999999999884</v>
      </c>
      <c r="W8" s="48">
        <f t="shared" si="8"/>
        <v>319999.99999999814</v>
      </c>
      <c r="X8" s="48">
        <v>0</v>
      </c>
      <c r="Y8" s="48">
        <f t="shared" si="9"/>
        <v>0</v>
      </c>
    </row>
    <row r="9" spans="1:40" ht="21" customHeight="1">
      <c r="A9" s="46">
        <v>7</v>
      </c>
      <c r="B9" s="76"/>
      <c r="C9" s="41" t="s">
        <v>36</v>
      </c>
      <c r="D9" s="77"/>
      <c r="E9" s="77"/>
      <c r="F9" s="77"/>
      <c r="G9" s="78"/>
      <c r="H9" s="38"/>
      <c r="I9" s="48"/>
      <c r="J9" s="48">
        <f t="shared" si="13"/>
        <v>0</v>
      </c>
      <c r="K9" s="48">
        <f t="shared" si="14"/>
        <v>0</v>
      </c>
      <c r="L9" s="48">
        <f t="shared" si="15"/>
        <v>0</v>
      </c>
      <c r="M9" s="48"/>
      <c r="N9" s="48">
        <f t="shared" si="16"/>
        <v>0</v>
      </c>
      <c r="O9" s="48">
        <f t="shared" si="17"/>
        <v>0</v>
      </c>
      <c r="P9" s="48">
        <f t="shared" si="18"/>
        <v>0</v>
      </c>
      <c r="Q9" s="48"/>
      <c r="R9" s="48">
        <f t="shared" si="19"/>
        <v>0</v>
      </c>
      <c r="S9" s="48">
        <f t="shared" si="20"/>
        <v>0</v>
      </c>
      <c r="T9" s="48">
        <f t="shared" si="21"/>
        <v>0</v>
      </c>
      <c r="U9" s="48">
        <f t="shared" si="11"/>
        <v>0</v>
      </c>
      <c r="V9" s="48">
        <f t="shared" si="12"/>
        <v>0</v>
      </c>
      <c r="W9" s="48">
        <f t="shared" si="8"/>
        <v>0</v>
      </c>
      <c r="X9" s="48">
        <v>0</v>
      </c>
      <c r="Y9" s="48">
        <f t="shared" si="9"/>
        <v>0</v>
      </c>
    </row>
    <row r="10" spans="1:40" ht="21" customHeight="1">
      <c r="A10" s="46">
        <v>8</v>
      </c>
      <c r="B10" s="76"/>
      <c r="C10" s="41" t="s">
        <v>36</v>
      </c>
      <c r="D10" s="77"/>
      <c r="E10" s="77"/>
      <c r="F10" s="77"/>
      <c r="G10" s="78"/>
      <c r="H10" s="38"/>
      <c r="I10" s="48"/>
      <c r="J10" s="48">
        <f t="shared" si="13"/>
        <v>0</v>
      </c>
      <c r="K10" s="48">
        <f t="shared" si="14"/>
        <v>0</v>
      </c>
      <c r="L10" s="48">
        <f t="shared" si="15"/>
        <v>0</v>
      </c>
      <c r="M10" s="49"/>
      <c r="N10" s="48">
        <f t="shared" si="16"/>
        <v>0</v>
      </c>
      <c r="O10" s="48">
        <f t="shared" si="17"/>
        <v>0</v>
      </c>
      <c r="P10" s="48">
        <f t="shared" si="18"/>
        <v>0</v>
      </c>
      <c r="Q10" s="49"/>
      <c r="R10" s="48">
        <f t="shared" si="19"/>
        <v>0</v>
      </c>
      <c r="S10" s="48">
        <f t="shared" si="20"/>
        <v>0</v>
      </c>
      <c r="T10" s="48">
        <f t="shared" si="21"/>
        <v>0</v>
      </c>
      <c r="U10" s="48">
        <f t="shared" si="11"/>
        <v>0</v>
      </c>
      <c r="V10" s="48">
        <f t="shared" si="12"/>
        <v>0</v>
      </c>
      <c r="W10" s="48">
        <f t="shared" si="8"/>
        <v>0</v>
      </c>
      <c r="X10" s="48">
        <v>0</v>
      </c>
      <c r="Y10" s="48">
        <f t="shared" si="9"/>
        <v>0</v>
      </c>
    </row>
    <row r="11" spans="1:40" s="50" customFormat="1" ht="21" customHeight="1">
      <c r="A11" s="46">
        <v>9</v>
      </c>
      <c r="B11" s="76"/>
      <c r="C11" s="41" t="s">
        <v>36</v>
      </c>
      <c r="D11" s="77"/>
      <c r="E11" s="77"/>
      <c r="F11" s="77"/>
      <c r="G11" s="78"/>
      <c r="H11" s="38"/>
      <c r="I11" s="48"/>
      <c r="J11" s="48">
        <f t="shared" si="13"/>
        <v>0</v>
      </c>
      <c r="K11" s="48">
        <f t="shared" si="14"/>
        <v>0</v>
      </c>
      <c r="L11" s="48">
        <f t="shared" si="15"/>
        <v>0</v>
      </c>
      <c r="M11" s="48"/>
      <c r="N11" s="48">
        <f t="shared" si="16"/>
        <v>0</v>
      </c>
      <c r="O11" s="48">
        <f t="shared" si="17"/>
        <v>0</v>
      </c>
      <c r="P11" s="48">
        <f t="shared" si="18"/>
        <v>0</v>
      </c>
      <c r="Q11" s="48"/>
      <c r="R11" s="48">
        <f t="shared" si="19"/>
        <v>0</v>
      </c>
      <c r="S11" s="48">
        <f t="shared" si="20"/>
        <v>0</v>
      </c>
      <c r="T11" s="48">
        <f t="shared" si="21"/>
        <v>0</v>
      </c>
      <c r="U11" s="48">
        <f t="shared" si="11"/>
        <v>0</v>
      </c>
      <c r="V11" s="48">
        <f t="shared" si="12"/>
        <v>0</v>
      </c>
      <c r="W11" s="48">
        <f t="shared" si="8"/>
        <v>0</v>
      </c>
      <c r="X11" s="48">
        <v>0</v>
      </c>
      <c r="Y11" s="48">
        <f t="shared" si="9"/>
        <v>0</v>
      </c>
      <c r="Z11" s="20"/>
      <c r="AA11" s="20"/>
      <c r="AB11" s="20"/>
      <c r="AC11" s="20"/>
      <c r="AD11" s="20"/>
      <c r="AE11" s="20"/>
      <c r="AF11" s="20"/>
      <c r="AG11" s="20"/>
    </row>
    <row r="12" spans="1:40" ht="21" customHeight="1">
      <c r="A12" s="46">
        <v>10</v>
      </c>
      <c r="B12" s="76"/>
      <c r="C12" s="41" t="s">
        <v>36</v>
      </c>
      <c r="D12" s="77"/>
      <c r="E12" s="77"/>
      <c r="F12" s="77"/>
      <c r="G12" s="78"/>
      <c r="H12" s="38"/>
      <c r="I12" s="48"/>
      <c r="J12" s="48">
        <f t="shared" si="0"/>
        <v>0</v>
      </c>
      <c r="K12" s="48">
        <f t="shared" si="1"/>
        <v>0</v>
      </c>
      <c r="L12" s="48">
        <f t="shared" si="2"/>
        <v>0</v>
      </c>
      <c r="M12" s="48"/>
      <c r="N12" s="48">
        <f t="shared" si="3"/>
        <v>0</v>
      </c>
      <c r="O12" s="48">
        <f t="shared" si="4"/>
        <v>0</v>
      </c>
      <c r="P12" s="48">
        <f t="shared" si="5"/>
        <v>0</v>
      </c>
      <c r="Q12" s="48"/>
      <c r="R12" s="48">
        <f t="shared" si="6"/>
        <v>0</v>
      </c>
      <c r="S12" s="48">
        <f t="shared" si="7"/>
        <v>0</v>
      </c>
      <c r="T12" s="48">
        <f t="shared" si="10"/>
        <v>0</v>
      </c>
      <c r="U12" s="48">
        <f t="shared" si="11"/>
        <v>0</v>
      </c>
      <c r="V12" s="48">
        <f t="shared" si="12"/>
        <v>0</v>
      </c>
      <c r="W12" s="48">
        <f t="shared" si="8"/>
        <v>0</v>
      </c>
      <c r="X12" s="48">
        <v>0</v>
      </c>
      <c r="Y12" s="48">
        <f t="shared" si="9"/>
        <v>0</v>
      </c>
    </row>
    <row r="13" spans="1:40" ht="21" customHeight="1">
      <c r="A13" s="46"/>
      <c r="B13" s="37"/>
      <c r="C13" s="40"/>
      <c r="D13" s="37"/>
      <c r="E13" s="38"/>
      <c r="F13" s="41"/>
      <c r="G13" s="42"/>
      <c r="H13" s="40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47"/>
    </row>
    <row r="14" spans="1:40" ht="21" customHeight="1" thickBot="1">
      <c r="A14" s="46"/>
      <c r="B14" s="37"/>
      <c r="C14" s="40"/>
      <c r="D14" s="37"/>
      <c r="E14" s="38"/>
      <c r="F14" s="41"/>
      <c r="G14" s="42"/>
      <c r="H14" s="40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47"/>
    </row>
    <row r="15" spans="1:40" s="45" customFormat="1" ht="21" customHeight="1" thickBot="1">
      <c r="A15" s="43"/>
      <c r="B15" s="43" t="s">
        <v>11</v>
      </c>
      <c r="C15" s="43"/>
      <c r="D15" s="43"/>
      <c r="E15" s="44"/>
      <c r="F15" s="44"/>
      <c r="G15" s="80">
        <f>SUM(G3:G14)</f>
        <v>53</v>
      </c>
      <c r="H15" s="81"/>
      <c r="I15" s="82"/>
      <c r="J15" s="82"/>
      <c r="K15" s="82"/>
      <c r="L15" s="82">
        <f>SUM(L3:L14)</f>
        <v>47389800</v>
      </c>
      <c r="M15" s="82"/>
      <c r="N15" s="82"/>
      <c r="O15" s="82"/>
      <c r="P15" s="82">
        <f>SUM(P3:P14)</f>
        <v>46597800</v>
      </c>
      <c r="Q15" s="82"/>
      <c r="R15" s="82"/>
      <c r="S15" s="82"/>
      <c r="T15" s="82">
        <f>SUM(T3:T14)</f>
        <v>44211300</v>
      </c>
      <c r="U15" s="82">
        <f>SUM(U3:U14)</f>
        <v>893513.51351351291</v>
      </c>
      <c r="V15" s="82"/>
      <c r="W15" s="82">
        <f>SUM(W3:W14)</f>
        <v>2149999.9999999972</v>
      </c>
      <c r="X15" s="83">
        <f>W15/G15</f>
        <v>40566.037735849</v>
      </c>
      <c r="Y15" s="90">
        <f>SUM(Y3:Y14)</f>
        <v>0</v>
      </c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</row>
    <row r="16" spans="1:40" s="14" customFormat="1" ht="13.2">
      <c r="A16" s="32"/>
      <c r="B16" s="32"/>
      <c r="C16" s="32"/>
      <c r="D16" s="32"/>
      <c r="F16" s="18"/>
      <c r="Q16" s="33"/>
      <c r="S16" s="34"/>
    </row>
    <row r="17" spans="1:19" s="14" customFormat="1" ht="13.2">
      <c r="A17" s="32"/>
      <c r="B17" s="32"/>
      <c r="C17" s="32"/>
      <c r="D17" s="32"/>
      <c r="F17" s="18"/>
      <c r="Q17" s="33"/>
      <c r="S17" s="34"/>
    </row>
    <row r="18" spans="1:19" s="14" customFormat="1" ht="13.2">
      <c r="A18" s="32"/>
      <c r="B18" s="32"/>
      <c r="C18" s="32"/>
      <c r="D18" s="32"/>
      <c r="F18" s="18"/>
      <c r="Q18" s="33"/>
      <c r="S18" s="34"/>
    </row>
    <row r="19" spans="1:19" s="14" customFormat="1" ht="13.2">
      <c r="A19" s="32"/>
      <c r="B19" s="32"/>
      <c r="C19" s="32"/>
      <c r="D19" s="32"/>
      <c r="F19" s="18"/>
      <c r="Q19" s="33"/>
      <c r="S19" s="34"/>
    </row>
    <row r="20" spans="1:19" s="14" customFormat="1" ht="13.2">
      <c r="A20" s="32"/>
      <c r="B20" s="32"/>
      <c r="C20" s="32"/>
      <c r="D20" s="32"/>
      <c r="Q20" s="35"/>
    </row>
    <row r="21" spans="1:19" s="14" customFormat="1" ht="13.2">
      <c r="A21" s="32"/>
      <c r="B21" s="32"/>
      <c r="C21" s="32"/>
      <c r="D21" s="32"/>
    </row>
    <row r="22" spans="1:19" s="14" customFormat="1" ht="13.2">
      <c r="A22" s="32"/>
      <c r="B22" s="32"/>
      <c r="C22" s="32"/>
      <c r="D22" s="32"/>
    </row>
    <row r="23" spans="1:19" s="14" customFormat="1" ht="13.2">
      <c r="A23" s="32"/>
      <c r="B23" s="32"/>
      <c r="C23" s="32"/>
      <c r="D23" s="32"/>
    </row>
    <row r="24" spans="1:19" s="14" customFormat="1" ht="13.2">
      <c r="A24" s="32"/>
      <c r="B24" s="32"/>
      <c r="C24" s="32"/>
      <c r="D24" s="32"/>
    </row>
    <row r="25" spans="1:19" s="14" customFormat="1" ht="13.2">
      <c r="A25" s="32"/>
      <c r="B25" s="32"/>
      <c r="C25" s="32"/>
      <c r="D25" s="32"/>
    </row>
    <row r="26" spans="1:19">
      <c r="A26" s="32"/>
      <c r="B26" s="32"/>
    </row>
  </sheetData>
  <autoFilter ref="A2:Y2" xr:uid="{00000000-0001-0000-0000-000000000000}"/>
  <mergeCells count="1">
    <mergeCell ref="A1:H1"/>
  </mergeCells>
  <phoneticPr fontId="11" type="noConversion"/>
  <pageMargins left="0.31" right="0.19685039370078741" top="0.34" bottom="0.84" header="0.34" footer="0.8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W51"/>
  <sheetViews>
    <sheetView view="pageBreakPreview" zoomScale="70" zoomScaleNormal="25" zoomScaleSheetLayoutView="70" workbookViewId="0">
      <pane xSplit="8" ySplit="2" topLeftCell="R3" activePane="bottomRight" state="frozen"/>
      <selection pane="topRight" activeCell="L1" sqref="L1"/>
      <selection pane="bottomLeft" activeCell="A14" sqref="A14"/>
      <selection pane="bottomRight" activeCell="Y8" sqref="Y8"/>
    </sheetView>
  </sheetViews>
  <sheetFormatPr defaultColWidth="9.109375" defaultRowHeight="13.8"/>
  <cols>
    <col min="1" max="1" width="5.77734375" style="2" customWidth="1"/>
    <col min="2" max="2" width="10.77734375" style="2" customWidth="1"/>
    <col min="3" max="3" width="14.77734375" style="19" customWidth="1"/>
    <col min="4" max="4" width="13.77734375" style="19" customWidth="1"/>
    <col min="5" max="5" width="26.44140625" style="2" customWidth="1"/>
    <col min="6" max="6" width="50.77734375" style="2" customWidth="1"/>
    <col min="7" max="7" width="10.77734375" style="2" customWidth="1"/>
    <col min="8" max="8" width="14.77734375" style="2" customWidth="1"/>
    <col min="9" max="11" width="15.33203125" style="2" customWidth="1"/>
    <col min="12" max="12" width="16.77734375" style="2" customWidth="1"/>
    <col min="13" max="15" width="15.33203125" style="2" customWidth="1"/>
    <col min="16" max="16" width="16.77734375" style="2" customWidth="1"/>
    <col min="17" max="19" width="15.33203125" style="2" customWidth="1"/>
    <col min="20" max="20" width="16.88671875" style="2" customWidth="1"/>
    <col min="21" max="25" width="15.44140625" style="2" customWidth="1"/>
    <col min="26" max="26" width="9.109375" style="2" customWidth="1"/>
    <col min="27" max="16384" width="9.109375" style="2"/>
  </cols>
  <sheetData>
    <row r="1" spans="1:49" ht="24.6">
      <c r="A1" s="169" t="str">
        <f>MALANG!A1</f>
        <v>REKAP PENJUALAN SALES AJM APRIL 2026</v>
      </c>
      <c r="B1" s="169"/>
      <c r="C1" s="170"/>
      <c r="D1" s="170"/>
      <c r="E1" s="169"/>
      <c r="F1" s="169"/>
      <c r="G1" s="169"/>
      <c r="H1" s="169"/>
    </row>
    <row r="2" spans="1:49" s="3" customFormat="1" ht="59.25" customHeight="1">
      <c r="A2" s="5" t="s">
        <v>18</v>
      </c>
      <c r="B2" s="5" t="s">
        <v>20</v>
      </c>
      <c r="C2" s="6" t="s">
        <v>6</v>
      </c>
      <c r="D2" s="6" t="s">
        <v>4</v>
      </c>
      <c r="E2" s="6" t="s">
        <v>5</v>
      </c>
      <c r="F2" s="5" t="s">
        <v>0</v>
      </c>
      <c r="G2" s="6" t="s">
        <v>7</v>
      </c>
      <c r="H2" s="5" t="s">
        <v>1</v>
      </c>
      <c r="I2" s="7" t="s">
        <v>8</v>
      </c>
      <c r="J2" s="7" t="s">
        <v>10</v>
      </c>
      <c r="K2" s="8" t="s">
        <v>24</v>
      </c>
      <c r="L2" s="8" t="s">
        <v>12</v>
      </c>
      <c r="M2" s="9" t="s">
        <v>2</v>
      </c>
      <c r="N2" s="9" t="s">
        <v>10</v>
      </c>
      <c r="O2" s="10" t="s">
        <v>24</v>
      </c>
      <c r="P2" s="10" t="s">
        <v>13</v>
      </c>
      <c r="Q2" s="27" t="s">
        <v>33</v>
      </c>
      <c r="R2" s="12" t="s">
        <v>10</v>
      </c>
      <c r="S2" s="11" t="s">
        <v>24</v>
      </c>
      <c r="T2" s="27" t="s">
        <v>32</v>
      </c>
      <c r="U2" s="13" t="s">
        <v>9</v>
      </c>
      <c r="V2" s="7" t="s">
        <v>15</v>
      </c>
      <c r="W2" s="8" t="s">
        <v>14</v>
      </c>
      <c r="X2" s="8" t="s">
        <v>17</v>
      </c>
      <c r="Y2" s="8" t="s">
        <v>16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s="110" customFormat="1" ht="21" hidden="1" customHeight="1">
      <c r="A3" s="92">
        <v>1</v>
      </c>
      <c r="B3" s="99">
        <v>46116</v>
      </c>
      <c r="C3" s="100" t="s">
        <v>34</v>
      </c>
      <c r="D3" s="101" t="s">
        <v>2</v>
      </c>
      <c r="E3" s="102" t="s">
        <v>66</v>
      </c>
      <c r="F3" s="97" t="s">
        <v>67</v>
      </c>
      <c r="G3" s="103">
        <v>22</v>
      </c>
      <c r="H3" s="104" t="s">
        <v>25</v>
      </c>
      <c r="I3" s="105">
        <v>770000</v>
      </c>
      <c r="J3" s="94">
        <f t="shared" ref="J3:J17" si="0">I3*11%</f>
        <v>84700</v>
      </c>
      <c r="K3" s="106">
        <f t="shared" ref="K3:K17" si="1">I3+J3</f>
        <v>854700</v>
      </c>
      <c r="L3" s="94">
        <f t="shared" ref="L3:L17" si="2">K3*G3</f>
        <v>18803400</v>
      </c>
      <c r="M3" s="105">
        <v>770000</v>
      </c>
      <c r="N3" s="94">
        <f t="shared" ref="N3:N17" si="3">M3*11%</f>
        <v>84700</v>
      </c>
      <c r="O3" s="94">
        <f t="shared" ref="O3:O17" si="4">M3+N3</f>
        <v>854700</v>
      </c>
      <c r="P3" s="94">
        <f t="shared" ref="P3:P17" si="5">O3*G3</f>
        <v>18803400</v>
      </c>
      <c r="Q3" s="107">
        <v>700000</v>
      </c>
      <c r="R3" s="94">
        <f t="shared" ref="R3:R18" si="6">Q3*11%</f>
        <v>77000</v>
      </c>
      <c r="S3" s="94">
        <f t="shared" ref="S3:S18" si="7">Q3+R3</f>
        <v>777000</v>
      </c>
      <c r="T3" s="108">
        <f t="shared" ref="T3:T18" si="8">S3*G3</f>
        <v>17094000</v>
      </c>
      <c r="U3" s="94">
        <f t="shared" ref="U3:U18" si="9">(I3-M3)*G3</f>
        <v>0</v>
      </c>
      <c r="V3" s="94">
        <f t="shared" ref="V3:V18" si="10">M3-Q3</f>
        <v>70000</v>
      </c>
      <c r="W3" s="94">
        <f t="shared" ref="W3:W18" si="11">G3*V3</f>
        <v>1540000</v>
      </c>
      <c r="X3" s="94">
        <v>0</v>
      </c>
      <c r="Y3" s="109">
        <f t="shared" ref="Y3:Y18" si="12">G3*X3</f>
        <v>0</v>
      </c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5"/>
      <c r="AQ3" s="95"/>
      <c r="AR3" s="95"/>
      <c r="AS3" s="95"/>
      <c r="AT3" s="95"/>
      <c r="AU3" s="95"/>
      <c r="AV3" s="95"/>
      <c r="AW3" s="95"/>
    </row>
    <row r="4" spans="1:49" s="110" customFormat="1" ht="21" hidden="1" customHeight="1">
      <c r="A4" s="111">
        <v>2</v>
      </c>
      <c r="B4" s="99">
        <v>46116</v>
      </c>
      <c r="C4" s="100" t="s">
        <v>34</v>
      </c>
      <c r="D4" s="101" t="s">
        <v>2</v>
      </c>
      <c r="E4" s="102" t="s">
        <v>68</v>
      </c>
      <c r="F4" s="97" t="s">
        <v>69</v>
      </c>
      <c r="G4" s="103">
        <v>6</v>
      </c>
      <c r="H4" s="104" t="s">
        <v>30</v>
      </c>
      <c r="I4" s="105">
        <v>780000</v>
      </c>
      <c r="J4" s="108">
        <f t="shared" si="0"/>
        <v>85800</v>
      </c>
      <c r="K4" s="106">
        <f t="shared" si="1"/>
        <v>865800</v>
      </c>
      <c r="L4" s="108">
        <f t="shared" si="2"/>
        <v>5194800</v>
      </c>
      <c r="M4" s="105">
        <v>780000</v>
      </c>
      <c r="N4" s="108">
        <f t="shared" si="3"/>
        <v>85800</v>
      </c>
      <c r="O4" s="108">
        <f t="shared" si="4"/>
        <v>865800</v>
      </c>
      <c r="P4" s="108">
        <f t="shared" si="5"/>
        <v>5194800</v>
      </c>
      <c r="Q4" s="107">
        <v>750000</v>
      </c>
      <c r="R4" s="108">
        <f t="shared" si="6"/>
        <v>82500</v>
      </c>
      <c r="S4" s="108">
        <f t="shared" si="7"/>
        <v>832500</v>
      </c>
      <c r="T4" s="108">
        <f t="shared" si="8"/>
        <v>4995000</v>
      </c>
      <c r="U4" s="94">
        <f t="shared" si="9"/>
        <v>0</v>
      </c>
      <c r="V4" s="94">
        <f t="shared" si="10"/>
        <v>30000</v>
      </c>
      <c r="W4" s="94">
        <f t="shared" si="11"/>
        <v>180000</v>
      </c>
      <c r="X4" s="94">
        <v>0</v>
      </c>
      <c r="Y4" s="109">
        <f t="shared" si="12"/>
        <v>0</v>
      </c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</row>
    <row r="5" spans="1:49" s="110" customFormat="1" ht="21" hidden="1" customHeight="1">
      <c r="A5" s="92">
        <v>3</v>
      </c>
      <c r="B5" s="99">
        <v>46116</v>
      </c>
      <c r="C5" s="100" t="s">
        <v>34</v>
      </c>
      <c r="D5" s="101" t="s">
        <v>129</v>
      </c>
      <c r="E5" s="102" t="s">
        <v>49</v>
      </c>
      <c r="F5" s="97" t="s">
        <v>50</v>
      </c>
      <c r="G5" s="103">
        <v>5</v>
      </c>
      <c r="H5" s="93" t="s">
        <v>28</v>
      </c>
      <c r="I5" s="105">
        <f>785000/1.11</f>
        <v>707207.2072072071</v>
      </c>
      <c r="J5" s="108">
        <f t="shared" si="0"/>
        <v>77792.792792792781</v>
      </c>
      <c r="K5" s="108">
        <f t="shared" si="1"/>
        <v>784999.99999999988</v>
      </c>
      <c r="L5" s="108">
        <f t="shared" si="2"/>
        <v>3924999.9999999995</v>
      </c>
      <c r="M5" s="105">
        <f>760000/1.11</f>
        <v>684684.68468468462</v>
      </c>
      <c r="N5" s="108">
        <f t="shared" si="3"/>
        <v>75315.315315315311</v>
      </c>
      <c r="O5" s="108">
        <f t="shared" si="4"/>
        <v>759999.99999999988</v>
      </c>
      <c r="P5" s="108">
        <f t="shared" si="5"/>
        <v>3799999.9999999995</v>
      </c>
      <c r="Q5" s="107">
        <v>650000</v>
      </c>
      <c r="R5" s="108">
        <f t="shared" si="6"/>
        <v>71500</v>
      </c>
      <c r="S5" s="108">
        <f t="shared" si="7"/>
        <v>721500</v>
      </c>
      <c r="T5" s="108">
        <f t="shared" si="8"/>
        <v>3607500</v>
      </c>
      <c r="U5" s="94">
        <f t="shared" si="9"/>
        <v>112612.61261261243</v>
      </c>
      <c r="V5" s="94">
        <f t="shared" si="10"/>
        <v>34684.684684684617</v>
      </c>
      <c r="W5" s="94">
        <f t="shared" si="11"/>
        <v>173423.42342342308</v>
      </c>
      <c r="X5" s="94">
        <v>0</v>
      </c>
      <c r="Y5" s="109">
        <f t="shared" si="12"/>
        <v>0</v>
      </c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95"/>
      <c r="AV5" s="95"/>
      <c r="AW5" s="95"/>
    </row>
    <row r="6" spans="1:49" s="110" customFormat="1" ht="21" hidden="1" customHeight="1">
      <c r="A6" s="111">
        <v>4</v>
      </c>
      <c r="B6" s="99">
        <v>46119</v>
      </c>
      <c r="C6" s="100" t="s">
        <v>34</v>
      </c>
      <c r="D6" s="101" t="s">
        <v>129</v>
      </c>
      <c r="E6" s="102" t="s">
        <v>49</v>
      </c>
      <c r="F6" s="97" t="s">
        <v>50</v>
      </c>
      <c r="G6" s="103">
        <v>5.5</v>
      </c>
      <c r="H6" s="93" t="s">
        <v>28</v>
      </c>
      <c r="I6" s="105">
        <f>785000/1.11</f>
        <v>707207.2072072071</v>
      </c>
      <c r="J6" s="108">
        <f t="shared" si="0"/>
        <v>77792.792792792781</v>
      </c>
      <c r="K6" s="108">
        <f t="shared" si="1"/>
        <v>784999.99999999988</v>
      </c>
      <c r="L6" s="108">
        <f t="shared" si="2"/>
        <v>4317499.9999999991</v>
      </c>
      <c r="M6" s="105">
        <f>760000/1.11</f>
        <v>684684.68468468462</v>
      </c>
      <c r="N6" s="108">
        <f t="shared" si="3"/>
        <v>75315.315315315311</v>
      </c>
      <c r="O6" s="108">
        <f t="shared" si="4"/>
        <v>759999.99999999988</v>
      </c>
      <c r="P6" s="108">
        <f t="shared" si="5"/>
        <v>4179999.9999999995</v>
      </c>
      <c r="Q6" s="107">
        <v>650000</v>
      </c>
      <c r="R6" s="108">
        <f t="shared" si="6"/>
        <v>71500</v>
      </c>
      <c r="S6" s="108">
        <f t="shared" si="7"/>
        <v>721500</v>
      </c>
      <c r="T6" s="108">
        <f t="shared" si="8"/>
        <v>3968250</v>
      </c>
      <c r="U6" s="94">
        <f t="shared" si="9"/>
        <v>123873.87387387367</v>
      </c>
      <c r="V6" s="94">
        <f t="shared" si="10"/>
        <v>34684.684684684617</v>
      </c>
      <c r="W6" s="94">
        <f t="shared" si="11"/>
        <v>190765.76576576539</v>
      </c>
      <c r="X6" s="94">
        <v>0</v>
      </c>
      <c r="Y6" s="109">
        <f t="shared" si="12"/>
        <v>0</v>
      </c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</row>
    <row r="7" spans="1:49" s="113" customFormat="1" ht="21" hidden="1" customHeight="1">
      <c r="A7" s="92">
        <v>5</v>
      </c>
      <c r="B7" s="99">
        <v>46120</v>
      </c>
      <c r="C7" s="100" t="s">
        <v>34</v>
      </c>
      <c r="D7" s="101" t="s">
        <v>2</v>
      </c>
      <c r="E7" s="102" t="s">
        <v>70</v>
      </c>
      <c r="F7" s="97" t="s">
        <v>71</v>
      </c>
      <c r="G7" s="103">
        <v>6</v>
      </c>
      <c r="H7" s="93" t="s">
        <v>27</v>
      </c>
      <c r="I7" s="105">
        <v>800000</v>
      </c>
      <c r="J7" s="108">
        <f t="shared" si="0"/>
        <v>88000</v>
      </c>
      <c r="K7" s="106">
        <f t="shared" si="1"/>
        <v>888000</v>
      </c>
      <c r="L7" s="108">
        <f t="shared" si="2"/>
        <v>5328000</v>
      </c>
      <c r="M7" s="105">
        <v>800000</v>
      </c>
      <c r="N7" s="108">
        <f t="shared" si="3"/>
        <v>88000</v>
      </c>
      <c r="O7" s="108">
        <f t="shared" si="4"/>
        <v>888000</v>
      </c>
      <c r="P7" s="108">
        <f t="shared" si="5"/>
        <v>5328000</v>
      </c>
      <c r="Q7" s="107">
        <v>750000</v>
      </c>
      <c r="R7" s="108">
        <f t="shared" si="6"/>
        <v>82500</v>
      </c>
      <c r="S7" s="108">
        <f t="shared" si="7"/>
        <v>832500</v>
      </c>
      <c r="T7" s="108">
        <f t="shared" si="8"/>
        <v>4995000</v>
      </c>
      <c r="U7" s="94">
        <f t="shared" si="9"/>
        <v>0</v>
      </c>
      <c r="V7" s="94">
        <f t="shared" si="10"/>
        <v>50000</v>
      </c>
      <c r="W7" s="94">
        <f t="shared" si="11"/>
        <v>300000</v>
      </c>
      <c r="X7" s="94">
        <v>0</v>
      </c>
      <c r="Y7" s="109">
        <f t="shared" si="12"/>
        <v>0</v>
      </c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112"/>
      <c r="AV7" s="112"/>
      <c r="AW7" s="112"/>
    </row>
    <row r="8" spans="1:49" s="110" customFormat="1" ht="21" customHeight="1">
      <c r="A8" s="111">
        <v>6</v>
      </c>
      <c r="B8" s="99">
        <v>46120</v>
      </c>
      <c r="C8" s="100" t="s">
        <v>34</v>
      </c>
      <c r="D8" s="101" t="s">
        <v>23</v>
      </c>
      <c r="E8" s="102" t="s">
        <v>29</v>
      </c>
      <c r="F8" s="97" t="s">
        <v>29</v>
      </c>
      <c r="G8" s="103">
        <v>21</v>
      </c>
      <c r="H8" s="93" t="s">
        <v>46</v>
      </c>
      <c r="I8" s="105">
        <v>755000</v>
      </c>
      <c r="J8" s="108">
        <f t="shared" si="0"/>
        <v>83050</v>
      </c>
      <c r="K8" s="106">
        <f t="shared" si="1"/>
        <v>838050</v>
      </c>
      <c r="L8" s="108">
        <f t="shared" si="2"/>
        <v>17599050</v>
      </c>
      <c r="M8" s="105">
        <v>755000</v>
      </c>
      <c r="N8" s="108">
        <f t="shared" si="3"/>
        <v>83050</v>
      </c>
      <c r="O8" s="108">
        <f t="shared" si="4"/>
        <v>838050</v>
      </c>
      <c r="P8" s="108">
        <f t="shared" si="5"/>
        <v>17599050</v>
      </c>
      <c r="Q8" s="107">
        <v>725000</v>
      </c>
      <c r="R8" s="108">
        <f t="shared" si="6"/>
        <v>79750</v>
      </c>
      <c r="S8" s="108">
        <f t="shared" si="7"/>
        <v>804750</v>
      </c>
      <c r="T8" s="108">
        <f t="shared" si="8"/>
        <v>16899750</v>
      </c>
      <c r="U8" s="94">
        <f t="shared" si="9"/>
        <v>0</v>
      </c>
      <c r="V8" s="94">
        <f t="shared" si="10"/>
        <v>30000</v>
      </c>
      <c r="W8" s="94">
        <f t="shared" si="11"/>
        <v>630000</v>
      </c>
      <c r="X8" s="94">
        <v>5000</v>
      </c>
      <c r="Y8" s="109">
        <f t="shared" si="12"/>
        <v>105000</v>
      </c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95"/>
      <c r="AV8" s="95"/>
      <c r="AW8" s="95"/>
    </row>
    <row r="9" spans="1:49" s="113" customFormat="1" ht="21" hidden="1" customHeight="1">
      <c r="A9" s="92">
        <v>7</v>
      </c>
      <c r="B9" s="99">
        <v>46121</v>
      </c>
      <c r="C9" s="100" t="s">
        <v>34</v>
      </c>
      <c r="D9" s="101" t="s">
        <v>129</v>
      </c>
      <c r="E9" s="102" t="s">
        <v>49</v>
      </c>
      <c r="F9" s="97" t="s">
        <v>50</v>
      </c>
      <c r="G9" s="103">
        <v>6</v>
      </c>
      <c r="H9" s="93" t="s">
        <v>28</v>
      </c>
      <c r="I9" s="105">
        <f>785000/1.11</f>
        <v>707207.2072072071</v>
      </c>
      <c r="J9" s="108">
        <f t="shared" ref="J9" si="13">I9*11%</f>
        <v>77792.792792792781</v>
      </c>
      <c r="K9" s="108">
        <f t="shared" ref="K9" si="14">I9+J9</f>
        <v>784999.99999999988</v>
      </c>
      <c r="L9" s="108">
        <f t="shared" ref="L9" si="15">K9*G9</f>
        <v>4709999.9999999991</v>
      </c>
      <c r="M9" s="105">
        <f>760000/1.11</f>
        <v>684684.68468468462</v>
      </c>
      <c r="N9" s="108">
        <f t="shared" ref="N9" si="16">M9*11%</f>
        <v>75315.315315315311</v>
      </c>
      <c r="O9" s="108">
        <f t="shared" ref="O9" si="17">M9+N9</f>
        <v>759999.99999999988</v>
      </c>
      <c r="P9" s="108">
        <f t="shared" ref="P9" si="18">O9*G9</f>
        <v>4559999.9999999991</v>
      </c>
      <c r="Q9" s="107">
        <v>650000</v>
      </c>
      <c r="R9" s="108">
        <f t="shared" si="6"/>
        <v>71500</v>
      </c>
      <c r="S9" s="108">
        <f t="shared" si="7"/>
        <v>721500</v>
      </c>
      <c r="T9" s="108">
        <f t="shared" si="8"/>
        <v>4329000</v>
      </c>
      <c r="U9" s="94">
        <f t="shared" si="9"/>
        <v>135135.13513513491</v>
      </c>
      <c r="V9" s="94">
        <f t="shared" si="10"/>
        <v>34684.684684684617</v>
      </c>
      <c r="W9" s="94">
        <f t="shared" si="11"/>
        <v>208108.1081081077</v>
      </c>
      <c r="X9" s="94">
        <v>0</v>
      </c>
      <c r="Y9" s="109">
        <f t="shared" si="12"/>
        <v>0</v>
      </c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4"/>
      <c r="AL9" s="114"/>
      <c r="AM9" s="114"/>
      <c r="AN9" s="114"/>
      <c r="AO9" s="114"/>
      <c r="AP9" s="114"/>
      <c r="AQ9" s="114"/>
      <c r="AR9" s="114"/>
      <c r="AS9" s="114"/>
      <c r="AT9" s="114"/>
      <c r="AU9" s="112"/>
      <c r="AV9" s="112"/>
      <c r="AW9" s="112"/>
    </row>
    <row r="10" spans="1:49" s="110" customFormat="1" ht="21" hidden="1" customHeight="1">
      <c r="A10" s="111">
        <v>8</v>
      </c>
      <c r="B10" s="99">
        <v>46125</v>
      </c>
      <c r="C10" s="100" t="s">
        <v>34</v>
      </c>
      <c r="D10" s="101" t="s">
        <v>2</v>
      </c>
      <c r="E10" s="102" t="s">
        <v>72</v>
      </c>
      <c r="F10" s="97" t="s">
        <v>38</v>
      </c>
      <c r="G10" s="103">
        <v>105</v>
      </c>
      <c r="H10" s="93" t="s">
        <v>27</v>
      </c>
      <c r="I10" s="105">
        <v>770000</v>
      </c>
      <c r="J10" s="106">
        <f t="shared" si="0"/>
        <v>84700</v>
      </c>
      <c r="K10" s="106">
        <f t="shared" si="1"/>
        <v>854700</v>
      </c>
      <c r="L10" s="106">
        <f t="shared" si="2"/>
        <v>89743500</v>
      </c>
      <c r="M10" s="105">
        <v>760000</v>
      </c>
      <c r="N10" s="106">
        <f t="shared" si="3"/>
        <v>83600</v>
      </c>
      <c r="O10" s="106">
        <f t="shared" si="4"/>
        <v>843600</v>
      </c>
      <c r="P10" s="106">
        <f t="shared" si="5"/>
        <v>88578000</v>
      </c>
      <c r="Q10" s="107">
        <v>700000</v>
      </c>
      <c r="R10" s="106">
        <f t="shared" si="6"/>
        <v>77000</v>
      </c>
      <c r="S10" s="106">
        <f t="shared" si="7"/>
        <v>777000</v>
      </c>
      <c r="T10" s="106">
        <f t="shared" si="8"/>
        <v>81585000</v>
      </c>
      <c r="U10" s="94">
        <f t="shared" si="9"/>
        <v>1050000</v>
      </c>
      <c r="V10" s="94">
        <f t="shared" si="10"/>
        <v>60000</v>
      </c>
      <c r="W10" s="94">
        <f t="shared" si="11"/>
        <v>6300000</v>
      </c>
      <c r="X10" s="94">
        <v>0</v>
      </c>
      <c r="Y10" s="109">
        <f t="shared" si="12"/>
        <v>0</v>
      </c>
      <c r="Z10" s="114"/>
      <c r="AA10" s="114"/>
      <c r="AB10" s="114"/>
      <c r="AC10" s="114"/>
      <c r="AD10" s="114"/>
      <c r="AE10" s="114"/>
      <c r="AF10" s="114"/>
      <c r="AG10" s="114"/>
      <c r="AH10" s="114"/>
      <c r="AI10" s="114"/>
      <c r="AJ10" s="114"/>
      <c r="AK10" s="114"/>
      <c r="AL10" s="114"/>
      <c r="AM10" s="114"/>
      <c r="AN10" s="114"/>
      <c r="AO10" s="114"/>
      <c r="AP10" s="114"/>
      <c r="AQ10" s="114"/>
      <c r="AR10" s="114"/>
      <c r="AS10" s="114"/>
      <c r="AT10" s="114"/>
      <c r="AU10" s="95"/>
      <c r="AV10" s="95"/>
      <c r="AW10" s="95"/>
    </row>
    <row r="11" spans="1:49" s="110" customFormat="1" ht="21" hidden="1" customHeight="1">
      <c r="A11" s="92">
        <v>9</v>
      </c>
      <c r="B11" s="99">
        <v>46125</v>
      </c>
      <c r="C11" s="100" t="s">
        <v>34</v>
      </c>
      <c r="D11" s="101" t="s">
        <v>129</v>
      </c>
      <c r="E11" s="102" t="s">
        <v>49</v>
      </c>
      <c r="F11" s="97" t="s">
        <v>50</v>
      </c>
      <c r="G11" s="103">
        <v>15</v>
      </c>
      <c r="H11" s="93" t="s">
        <v>28</v>
      </c>
      <c r="I11" s="105">
        <f>785000/1.11</f>
        <v>707207.2072072071</v>
      </c>
      <c r="J11" s="108">
        <f t="shared" ref="J11" si="19">I11*11%</f>
        <v>77792.792792792781</v>
      </c>
      <c r="K11" s="108">
        <f t="shared" ref="K11" si="20">I11+J11</f>
        <v>784999.99999999988</v>
      </c>
      <c r="L11" s="108">
        <f t="shared" ref="L11" si="21">K11*G11</f>
        <v>11774999.999999998</v>
      </c>
      <c r="M11" s="105">
        <f>760000/1.11</f>
        <v>684684.68468468462</v>
      </c>
      <c r="N11" s="108">
        <f t="shared" ref="N11" si="22">M11*11%</f>
        <v>75315.315315315311</v>
      </c>
      <c r="O11" s="108">
        <f t="shared" ref="O11" si="23">M11+N11</f>
        <v>759999.99999999988</v>
      </c>
      <c r="P11" s="108">
        <f t="shared" ref="P11" si="24">O11*G11</f>
        <v>11399999.999999998</v>
      </c>
      <c r="Q11" s="107">
        <v>650000</v>
      </c>
      <c r="R11" s="106">
        <f t="shared" si="6"/>
        <v>71500</v>
      </c>
      <c r="S11" s="106">
        <f t="shared" si="7"/>
        <v>721500</v>
      </c>
      <c r="T11" s="106">
        <f t="shared" si="8"/>
        <v>10822500</v>
      </c>
      <c r="U11" s="94">
        <f t="shared" si="9"/>
        <v>337837.83783783729</v>
      </c>
      <c r="V11" s="94">
        <f t="shared" si="10"/>
        <v>34684.684684684617</v>
      </c>
      <c r="W11" s="94">
        <f t="shared" si="11"/>
        <v>520270.27027026925</v>
      </c>
      <c r="X11" s="94">
        <v>0</v>
      </c>
      <c r="Y11" s="109">
        <f t="shared" si="12"/>
        <v>0</v>
      </c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95"/>
      <c r="AV11" s="95"/>
      <c r="AW11" s="95"/>
    </row>
    <row r="12" spans="1:49" s="110" customFormat="1" ht="21" hidden="1" customHeight="1">
      <c r="A12" s="111">
        <v>10</v>
      </c>
      <c r="B12" s="99">
        <v>46125</v>
      </c>
      <c r="C12" s="100" t="s">
        <v>34</v>
      </c>
      <c r="D12" s="101" t="s">
        <v>21</v>
      </c>
      <c r="E12" s="102" t="s">
        <v>73</v>
      </c>
      <c r="F12" s="97" t="s">
        <v>74</v>
      </c>
      <c r="G12" s="103">
        <v>7</v>
      </c>
      <c r="H12" s="93" t="s">
        <v>75</v>
      </c>
      <c r="I12" s="105">
        <f>930000/1.11</f>
        <v>837837.83783783775</v>
      </c>
      <c r="J12" s="108">
        <f t="shared" si="0"/>
        <v>92162.16216216216</v>
      </c>
      <c r="K12" s="108">
        <f t="shared" si="1"/>
        <v>929999.99999999988</v>
      </c>
      <c r="L12" s="108">
        <f t="shared" si="2"/>
        <v>6509999.9999999991</v>
      </c>
      <c r="M12" s="105">
        <f>930000/1.11</f>
        <v>837837.83783783775</v>
      </c>
      <c r="N12" s="108">
        <f t="shared" si="3"/>
        <v>92162.16216216216</v>
      </c>
      <c r="O12" s="108">
        <f t="shared" si="4"/>
        <v>929999.99999999988</v>
      </c>
      <c r="P12" s="108">
        <f t="shared" si="5"/>
        <v>6509999.9999999991</v>
      </c>
      <c r="Q12" s="107">
        <v>780000</v>
      </c>
      <c r="R12" s="108">
        <f t="shared" si="6"/>
        <v>85800</v>
      </c>
      <c r="S12" s="108">
        <f t="shared" si="7"/>
        <v>865800</v>
      </c>
      <c r="T12" s="108">
        <f t="shared" si="8"/>
        <v>6060600</v>
      </c>
      <c r="U12" s="94">
        <f t="shared" si="9"/>
        <v>0</v>
      </c>
      <c r="V12" s="94">
        <f t="shared" si="10"/>
        <v>57837.837837837753</v>
      </c>
      <c r="W12" s="94">
        <f t="shared" si="11"/>
        <v>404864.86486486427</v>
      </c>
      <c r="X12" s="94">
        <v>0</v>
      </c>
      <c r="Y12" s="109">
        <f t="shared" si="12"/>
        <v>0</v>
      </c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</row>
    <row r="13" spans="1:49" s="110" customFormat="1" ht="21" hidden="1" customHeight="1">
      <c r="A13" s="92">
        <v>11</v>
      </c>
      <c r="B13" s="99">
        <v>46126</v>
      </c>
      <c r="C13" s="100" t="s">
        <v>34</v>
      </c>
      <c r="D13" s="101" t="s">
        <v>2</v>
      </c>
      <c r="E13" s="102" t="s">
        <v>130</v>
      </c>
      <c r="F13" s="97" t="s">
        <v>76</v>
      </c>
      <c r="G13" s="103">
        <v>4</v>
      </c>
      <c r="H13" s="93" t="s">
        <v>25</v>
      </c>
      <c r="I13" s="105">
        <v>800000</v>
      </c>
      <c r="J13" s="108">
        <f t="shared" si="0"/>
        <v>88000</v>
      </c>
      <c r="K13" s="108">
        <f t="shared" si="1"/>
        <v>888000</v>
      </c>
      <c r="L13" s="108">
        <f t="shared" si="2"/>
        <v>3552000</v>
      </c>
      <c r="M13" s="105">
        <v>800000</v>
      </c>
      <c r="N13" s="108">
        <f t="shared" si="3"/>
        <v>88000</v>
      </c>
      <c r="O13" s="108">
        <f t="shared" si="4"/>
        <v>888000</v>
      </c>
      <c r="P13" s="108">
        <f t="shared" si="5"/>
        <v>3552000</v>
      </c>
      <c r="Q13" s="107">
        <v>765000</v>
      </c>
      <c r="R13" s="108">
        <f t="shared" si="6"/>
        <v>84150</v>
      </c>
      <c r="S13" s="108">
        <f t="shared" si="7"/>
        <v>849150</v>
      </c>
      <c r="T13" s="108">
        <f t="shared" si="8"/>
        <v>3396600</v>
      </c>
      <c r="U13" s="94">
        <f t="shared" si="9"/>
        <v>0</v>
      </c>
      <c r="V13" s="94">
        <f t="shared" si="10"/>
        <v>35000</v>
      </c>
      <c r="W13" s="94">
        <f t="shared" si="11"/>
        <v>140000</v>
      </c>
      <c r="X13" s="94">
        <v>0</v>
      </c>
      <c r="Y13" s="109">
        <f t="shared" si="12"/>
        <v>0</v>
      </c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</row>
    <row r="14" spans="1:49" s="110" customFormat="1" ht="21" hidden="1" customHeight="1">
      <c r="A14" s="111">
        <v>12</v>
      </c>
      <c r="B14" s="99">
        <v>46126</v>
      </c>
      <c r="C14" s="100" t="s">
        <v>34</v>
      </c>
      <c r="D14" s="101" t="s">
        <v>2</v>
      </c>
      <c r="E14" s="102" t="s">
        <v>70</v>
      </c>
      <c r="F14" s="97" t="s">
        <v>71</v>
      </c>
      <c r="G14" s="103">
        <v>7.5</v>
      </c>
      <c r="H14" s="93" t="s">
        <v>27</v>
      </c>
      <c r="I14" s="105">
        <v>800000</v>
      </c>
      <c r="J14" s="108">
        <f t="shared" ref="J14:J15" si="25">I14*11%</f>
        <v>88000</v>
      </c>
      <c r="K14" s="106">
        <f t="shared" ref="K14:K15" si="26">I14+J14</f>
        <v>888000</v>
      </c>
      <c r="L14" s="108">
        <f t="shared" ref="L14:L15" si="27">K14*G14</f>
        <v>6660000</v>
      </c>
      <c r="M14" s="105">
        <v>800000</v>
      </c>
      <c r="N14" s="108">
        <f t="shared" ref="N14:N15" si="28">M14*11%</f>
        <v>88000</v>
      </c>
      <c r="O14" s="108">
        <f t="shared" ref="O14:O15" si="29">M14+N14</f>
        <v>888000</v>
      </c>
      <c r="P14" s="108">
        <f t="shared" ref="P14:P15" si="30">O14*G14</f>
        <v>6660000</v>
      </c>
      <c r="Q14" s="107">
        <v>750000</v>
      </c>
      <c r="R14" s="106">
        <f t="shared" si="6"/>
        <v>82500</v>
      </c>
      <c r="S14" s="106">
        <f t="shared" si="7"/>
        <v>832500</v>
      </c>
      <c r="T14" s="106">
        <f t="shared" si="8"/>
        <v>6243750</v>
      </c>
      <c r="U14" s="94">
        <f t="shared" si="9"/>
        <v>0</v>
      </c>
      <c r="V14" s="94">
        <f t="shared" si="10"/>
        <v>50000</v>
      </c>
      <c r="W14" s="94">
        <f t="shared" si="11"/>
        <v>375000</v>
      </c>
      <c r="X14" s="94">
        <v>0</v>
      </c>
      <c r="Y14" s="109">
        <f t="shared" si="12"/>
        <v>0</v>
      </c>
      <c r="Z14" s="114"/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4"/>
      <c r="AL14" s="114"/>
      <c r="AM14" s="114"/>
      <c r="AN14" s="114"/>
      <c r="AO14" s="114"/>
      <c r="AP14" s="114"/>
      <c r="AQ14" s="114"/>
      <c r="AR14" s="114"/>
      <c r="AS14" s="114"/>
      <c r="AT14" s="114"/>
      <c r="AU14" s="95"/>
      <c r="AV14" s="95"/>
      <c r="AW14" s="95"/>
    </row>
    <row r="15" spans="1:49" s="115" customFormat="1" ht="21" hidden="1" customHeight="1">
      <c r="A15" s="92">
        <v>13</v>
      </c>
      <c r="B15" s="99">
        <v>46127</v>
      </c>
      <c r="C15" s="100" t="s">
        <v>34</v>
      </c>
      <c r="D15" s="101" t="s">
        <v>2</v>
      </c>
      <c r="E15" s="102" t="s">
        <v>66</v>
      </c>
      <c r="F15" s="97" t="s">
        <v>67</v>
      </c>
      <c r="G15" s="103">
        <v>12</v>
      </c>
      <c r="H15" s="104" t="s">
        <v>25</v>
      </c>
      <c r="I15" s="105">
        <v>770000</v>
      </c>
      <c r="J15" s="94">
        <f t="shared" si="25"/>
        <v>84700</v>
      </c>
      <c r="K15" s="106">
        <f t="shared" si="26"/>
        <v>854700</v>
      </c>
      <c r="L15" s="94">
        <f t="shared" si="27"/>
        <v>10256400</v>
      </c>
      <c r="M15" s="105">
        <v>770000</v>
      </c>
      <c r="N15" s="94">
        <f t="shared" si="28"/>
        <v>84700</v>
      </c>
      <c r="O15" s="94">
        <f t="shared" si="29"/>
        <v>854700</v>
      </c>
      <c r="P15" s="94">
        <f t="shared" si="30"/>
        <v>10256400</v>
      </c>
      <c r="Q15" s="107">
        <v>730000</v>
      </c>
      <c r="R15" s="108">
        <f t="shared" si="6"/>
        <v>80300</v>
      </c>
      <c r="S15" s="108">
        <f t="shared" si="7"/>
        <v>810300</v>
      </c>
      <c r="T15" s="108">
        <f t="shared" si="8"/>
        <v>9723600</v>
      </c>
      <c r="U15" s="94">
        <f t="shared" si="9"/>
        <v>0</v>
      </c>
      <c r="V15" s="94">
        <f t="shared" si="10"/>
        <v>40000</v>
      </c>
      <c r="W15" s="94">
        <f t="shared" si="11"/>
        <v>480000</v>
      </c>
      <c r="X15" s="94">
        <v>0</v>
      </c>
      <c r="Y15" s="109">
        <f t="shared" si="12"/>
        <v>0</v>
      </c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</row>
    <row r="16" spans="1:49" s="115" customFormat="1" ht="21" hidden="1" customHeight="1">
      <c r="A16" s="111">
        <v>14</v>
      </c>
      <c r="B16" s="99">
        <v>46128</v>
      </c>
      <c r="C16" s="100" t="s">
        <v>34</v>
      </c>
      <c r="D16" s="101" t="s">
        <v>2</v>
      </c>
      <c r="E16" s="102" t="s">
        <v>77</v>
      </c>
      <c r="F16" s="97" t="s">
        <v>78</v>
      </c>
      <c r="G16" s="103">
        <v>8</v>
      </c>
      <c r="H16" s="93" t="s">
        <v>28</v>
      </c>
      <c r="I16" s="105">
        <v>770000</v>
      </c>
      <c r="J16" s="106">
        <f t="shared" si="0"/>
        <v>84700</v>
      </c>
      <c r="K16" s="106">
        <f t="shared" si="1"/>
        <v>854700</v>
      </c>
      <c r="L16" s="106">
        <f t="shared" si="2"/>
        <v>6837600</v>
      </c>
      <c r="M16" s="105">
        <v>740000</v>
      </c>
      <c r="N16" s="106">
        <f t="shared" si="3"/>
        <v>81400</v>
      </c>
      <c r="O16" s="106">
        <f t="shared" si="4"/>
        <v>821400</v>
      </c>
      <c r="P16" s="106">
        <f t="shared" si="5"/>
        <v>6571200</v>
      </c>
      <c r="Q16" s="107">
        <v>690000</v>
      </c>
      <c r="R16" s="106">
        <f t="shared" si="6"/>
        <v>75900</v>
      </c>
      <c r="S16" s="106">
        <f t="shared" si="7"/>
        <v>765900</v>
      </c>
      <c r="T16" s="106">
        <f t="shared" si="8"/>
        <v>6127200</v>
      </c>
      <c r="U16" s="94">
        <f t="shared" si="9"/>
        <v>240000</v>
      </c>
      <c r="V16" s="94">
        <f t="shared" si="10"/>
        <v>50000</v>
      </c>
      <c r="W16" s="94">
        <f t="shared" si="11"/>
        <v>400000</v>
      </c>
      <c r="X16" s="94">
        <v>0</v>
      </c>
      <c r="Y16" s="109">
        <f t="shared" si="12"/>
        <v>0</v>
      </c>
      <c r="Z16" s="114"/>
      <c r="AA16" s="114"/>
      <c r="AB16" s="114"/>
      <c r="AC16" s="114"/>
      <c r="AD16" s="114"/>
      <c r="AE16" s="114"/>
      <c r="AF16" s="114"/>
      <c r="AG16" s="114"/>
      <c r="AH16" s="114"/>
      <c r="AI16" s="114"/>
      <c r="AJ16" s="114"/>
      <c r="AK16" s="114"/>
      <c r="AL16" s="114"/>
      <c r="AM16" s="114"/>
      <c r="AN16" s="114"/>
      <c r="AO16" s="114"/>
      <c r="AP16" s="114"/>
      <c r="AQ16" s="114"/>
      <c r="AR16" s="114"/>
      <c r="AS16" s="114"/>
      <c r="AT16" s="114"/>
      <c r="AU16" s="114"/>
      <c r="AV16" s="114"/>
      <c r="AW16" s="114"/>
    </row>
    <row r="17" spans="1:49" s="115" customFormat="1" ht="21" hidden="1" customHeight="1">
      <c r="A17" s="92">
        <v>15</v>
      </c>
      <c r="B17" s="99">
        <v>46129</v>
      </c>
      <c r="C17" s="100" t="s">
        <v>34</v>
      </c>
      <c r="D17" s="101" t="s">
        <v>129</v>
      </c>
      <c r="E17" s="102" t="s">
        <v>79</v>
      </c>
      <c r="F17" s="97" t="s">
        <v>80</v>
      </c>
      <c r="G17" s="103">
        <v>16</v>
      </c>
      <c r="H17" s="104" t="s">
        <v>25</v>
      </c>
      <c r="I17" s="105">
        <v>860000</v>
      </c>
      <c r="J17" s="108">
        <f t="shared" si="0"/>
        <v>94600</v>
      </c>
      <c r="K17" s="108">
        <f t="shared" si="1"/>
        <v>954600</v>
      </c>
      <c r="L17" s="108">
        <f t="shared" si="2"/>
        <v>15273600</v>
      </c>
      <c r="M17" s="105">
        <v>775000</v>
      </c>
      <c r="N17" s="108">
        <f t="shared" si="3"/>
        <v>85250</v>
      </c>
      <c r="O17" s="108">
        <f t="shared" si="4"/>
        <v>860250</v>
      </c>
      <c r="P17" s="108">
        <f t="shared" si="5"/>
        <v>13764000</v>
      </c>
      <c r="Q17" s="107">
        <v>705000</v>
      </c>
      <c r="R17" s="108">
        <f t="shared" si="6"/>
        <v>77550</v>
      </c>
      <c r="S17" s="108">
        <f t="shared" si="7"/>
        <v>782550</v>
      </c>
      <c r="T17" s="108">
        <f t="shared" si="8"/>
        <v>12520800</v>
      </c>
      <c r="U17" s="94">
        <f t="shared" si="9"/>
        <v>1360000</v>
      </c>
      <c r="V17" s="94">
        <f t="shared" si="10"/>
        <v>70000</v>
      </c>
      <c r="W17" s="94">
        <f t="shared" si="11"/>
        <v>1120000</v>
      </c>
      <c r="X17" s="94">
        <v>0</v>
      </c>
      <c r="Y17" s="109">
        <f t="shared" si="12"/>
        <v>0</v>
      </c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114"/>
      <c r="AV17" s="114"/>
      <c r="AW17" s="114"/>
    </row>
    <row r="18" spans="1:49" s="110" customFormat="1" ht="21" hidden="1" customHeight="1">
      <c r="A18" s="92">
        <v>16</v>
      </c>
      <c r="B18" s="99">
        <v>46130</v>
      </c>
      <c r="C18" s="100" t="s">
        <v>34</v>
      </c>
      <c r="D18" s="101" t="s">
        <v>2</v>
      </c>
      <c r="E18" s="102" t="s">
        <v>72</v>
      </c>
      <c r="F18" s="97" t="s">
        <v>38</v>
      </c>
      <c r="G18" s="103">
        <v>75</v>
      </c>
      <c r="H18" s="93" t="s">
        <v>27</v>
      </c>
      <c r="I18" s="105">
        <v>770000</v>
      </c>
      <c r="J18" s="106">
        <f t="shared" ref="J18:J19" si="31">I18*11%</f>
        <v>84700</v>
      </c>
      <c r="K18" s="106">
        <f t="shared" ref="K18:K19" si="32">I18+J18</f>
        <v>854700</v>
      </c>
      <c r="L18" s="106">
        <f t="shared" ref="L18:L19" si="33">K18*G18</f>
        <v>64102500</v>
      </c>
      <c r="M18" s="105">
        <v>760000</v>
      </c>
      <c r="N18" s="106">
        <f t="shared" ref="N18:N19" si="34">M18*11%</f>
        <v>83600</v>
      </c>
      <c r="O18" s="106">
        <f t="shared" ref="O18:O19" si="35">M18+N18</f>
        <v>843600</v>
      </c>
      <c r="P18" s="106">
        <f t="shared" ref="P18:P19" si="36">O18*G18</f>
        <v>63270000</v>
      </c>
      <c r="Q18" s="107">
        <v>700000</v>
      </c>
      <c r="R18" s="106">
        <f t="shared" si="6"/>
        <v>77000</v>
      </c>
      <c r="S18" s="106">
        <f t="shared" si="7"/>
        <v>777000</v>
      </c>
      <c r="T18" s="106">
        <f t="shared" si="8"/>
        <v>58275000</v>
      </c>
      <c r="U18" s="94">
        <f t="shared" si="9"/>
        <v>750000</v>
      </c>
      <c r="V18" s="94">
        <f t="shared" si="10"/>
        <v>60000</v>
      </c>
      <c r="W18" s="94">
        <f t="shared" si="11"/>
        <v>4500000</v>
      </c>
      <c r="X18" s="94">
        <v>0</v>
      </c>
      <c r="Y18" s="109">
        <f t="shared" si="12"/>
        <v>0</v>
      </c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95"/>
      <c r="AV18" s="95"/>
      <c r="AW18" s="95"/>
    </row>
    <row r="19" spans="1:49" s="110" customFormat="1" ht="21" hidden="1" customHeight="1">
      <c r="A19" s="111">
        <v>17</v>
      </c>
      <c r="B19" s="99">
        <v>46132</v>
      </c>
      <c r="C19" s="100" t="s">
        <v>34</v>
      </c>
      <c r="D19" s="101" t="s">
        <v>2</v>
      </c>
      <c r="E19" s="102" t="s">
        <v>70</v>
      </c>
      <c r="F19" s="97" t="s">
        <v>71</v>
      </c>
      <c r="G19" s="103">
        <v>11</v>
      </c>
      <c r="H19" s="93" t="s">
        <v>27</v>
      </c>
      <c r="I19" s="105">
        <v>800000</v>
      </c>
      <c r="J19" s="108">
        <f t="shared" si="31"/>
        <v>88000</v>
      </c>
      <c r="K19" s="106">
        <f t="shared" si="32"/>
        <v>888000</v>
      </c>
      <c r="L19" s="108">
        <f t="shared" si="33"/>
        <v>9768000</v>
      </c>
      <c r="M19" s="105">
        <v>800000</v>
      </c>
      <c r="N19" s="108">
        <f t="shared" si="34"/>
        <v>88000</v>
      </c>
      <c r="O19" s="108">
        <f t="shared" si="35"/>
        <v>888000</v>
      </c>
      <c r="P19" s="108">
        <f t="shared" si="36"/>
        <v>9768000</v>
      </c>
      <c r="Q19" s="107">
        <v>750000</v>
      </c>
      <c r="R19" s="108">
        <f t="shared" ref="R19:R32" si="37">Q19*11%</f>
        <v>82500</v>
      </c>
      <c r="S19" s="108">
        <f t="shared" ref="S19:S32" si="38">Q19+R19</f>
        <v>832500</v>
      </c>
      <c r="T19" s="108">
        <f t="shared" ref="T19:T32" si="39">S19*G19</f>
        <v>9157500</v>
      </c>
      <c r="U19" s="94">
        <f t="shared" ref="U19:U32" si="40">(I19-M19)*G19</f>
        <v>0</v>
      </c>
      <c r="V19" s="94">
        <f t="shared" ref="V19:V32" si="41">M19-Q19</f>
        <v>50000</v>
      </c>
      <c r="W19" s="94">
        <f t="shared" ref="W19:W32" si="42">G19*V19</f>
        <v>550000</v>
      </c>
      <c r="X19" s="94">
        <v>0</v>
      </c>
      <c r="Y19" s="109">
        <f t="shared" ref="Y19:Y32" si="43">G19*X19</f>
        <v>0</v>
      </c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95"/>
      <c r="AV19" s="95"/>
      <c r="AW19" s="95"/>
    </row>
    <row r="20" spans="1:49" s="110" customFormat="1" ht="21" hidden="1" customHeight="1">
      <c r="A20" s="92">
        <v>18</v>
      </c>
      <c r="B20" s="99">
        <v>46132</v>
      </c>
      <c r="C20" s="100" t="s">
        <v>34</v>
      </c>
      <c r="D20" s="101" t="s">
        <v>21</v>
      </c>
      <c r="E20" s="102" t="s">
        <v>81</v>
      </c>
      <c r="F20" s="97" t="s">
        <v>82</v>
      </c>
      <c r="G20" s="103">
        <v>3</v>
      </c>
      <c r="H20" s="104" t="s">
        <v>83</v>
      </c>
      <c r="I20" s="105">
        <v>1350000</v>
      </c>
      <c r="J20" s="108">
        <f t="shared" ref="J20:J31" si="44">I20*11%</f>
        <v>148500</v>
      </c>
      <c r="K20" s="108">
        <f t="shared" ref="K20:K31" si="45">I20+J20</f>
        <v>1498500</v>
      </c>
      <c r="L20" s="108">
        <f t="shared" ref="L20:L31" si="46">K20*G20</f>
        <v>4495500</v>
      </c>
      <c r="M20" s="105">
        <v>1350000</v>
      </c>
      <c r="N20" s="108">
        <f t="shared" ref="N20:N31" si="47">M20*11%</f>
        <v>148500</v>
      </c>
      <c r="O20" s="108">
        <f t="shared" ref="O20:O31" si="48">M20+N20</f>
        <v>1498500</v>
      </c>
      <c r="P20" s="108">
        <f t="shared" ref="P20:P31" si="49">O20*G20</f>
        <v>4495500</v>
      </c>
      <c r="Q20" s="107">
        <v>1300000</v>
      </c>
      <c r="R20" s="108">
        <f t="shared" si="37"/>
        <v>143000</v>
      </c>
      <c r="S20" s="108">
        <f t="shared" si="38"/>
        <v>1443000</v>
      </c>
      <c r="T20" s="108">
        <f t="shared" si="39"/>
        <v>4329000</v>
      </c>
      <c r="U20" s="94">
        <f t="shared" si="40"/>
        <v>0</v>
      </c>
      <c r="V20" s="94">
        <f t="shared" si="41"/>
        <v>50000</v>
      </c>
      <c r="W20" s="94">
        <f t="shared" si="42"/>
        <v>150000</v>
      </c>
      <c r="X20" s="94">
        <v>0</v>
      </c>
      <c r="Y20" s="109">
        <f t="shared" si="43"/>
        <v>0</v>
      </c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95"/>
      <c r="AV20" s="95"/>
      <c r="AW20" s="95"/>
    </row>
    <row r="21" spans="1:49" s="115" customFormat="1" ht="21" hidden="1" customHeight="1">
      <c r="A21" s="92">
        <v>19</v>
      </c>
      <c r="B21" s="99">
        <v>46132</v>
      </c>
      <c r="C21" s="100" t="s">
        <v>34</v>
      </c>
      <c r="D21" s="101" t="s">
        <v>129</v>
      </c>
      <c r="E21" s="102" t="s">
        <v>84</v>
      </c>
      <c r="F21" s="97" t="s">
        <v>85</v>
      </c>
      <c r="G21" s="103">
        <v>33</v>
      </c>
      <c r="H21" s="104" t="s">
        <v>30</v>
      </c>
      <c r="I21" s="105">
        <f>857000/1.11</f>
        <v>772072.07207207195</v>
      </c>
      <c r="J21" s="108">
        <f t="shared" si="44"/>
        <v>84927.927927927914</v>
      </c>
      <c r="K21" s="108">
        <f t="shared" si="45"/>
        <v>856999.99999999988</v>
      </c>
      <c r="L21" s="108">
        <f t="shared" si="46"/>
        <v>28280999.999999996</v>
      </c>
      <c r="M21" s="105">
        <f>857000/1.11</f>
        <v>772072.07207207195</v>
      </c>
      <c r="N21" s="108">
        <f t="shared" si="47"/>
        <v>84927.927927927914</v>
      </c>
      <c r="O21" s="108">
        <f t="shared" si="48"/>
        <v>856999.99999999988</v>
      </c>
      <c r="P21" s="108">
        <f t="shared" si="49"/>
        <v>28280999.999999996</v>
      </c>
      <c r="Q21" s="107">
        <v>730000</v>
      </c>
      <c r="R21" s="108">
        <f t="shared" si="37"/>
        <v>80300</v>
      </c>
      <c r="S21" s="108">
        <f t="shared" si="38"/>
        <v>810300</v>
      </c>
      <c r="T21" s="108">
        <f t="shared" si="39"/>
        <v>26739900</v>
      </c>
      <c r="U21" s="94">
        <f t="shared" si="40"/>
        <v>0</v>
      </c>
      <c r="V21" s="94">
        <f t="shared" si="41"/>
        <v>42072.072072071955</v>
      </c>
      <c r="W21" s="94">
        <f t="shared" si="42"/>
        <v>1388378.3783783745</v>
      </c>
      <c r="X21" s="94">
        <v>0</v>
      </c>
      <c r="Y21" s="109">
        <f t="shared" si="43"/>
        <v>0</v>
      </c>
      <c r="Z21" s="114"/>
      <c r="AA21" s="114"/>
      <c r="AB21" s="114"/>
      <c r="AC21" s="114"/>
      <c r="AD21" s="114"/>
      <c r="AE21" s="114"/>
      <c r="AF21" s="114"/>
      <c r="AG21" s="114"/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114"/>
      <c r="AV21" s="114"/>
      <c r="AW21" s="114"/>
    </row>
    <row r="22" spans="1:49" s="110" customFormat="1" ht="21" hidden="1" customHeight="1">
      <c r="A22" s="111">
        <v>20</v>
      </c>
      <c r="B22" s="99">
        <v>46133</v>
      </c>
      <c r="C22" s="100" t="s">
        <v>34</v>
      </c>
      <c r="D22" s="101" t="s">
        <v>129</v>
      </c>
      <c r="E22" s="102" t="s">
        <v>87</v>
      </c>
      <c r="F22" s="97" t="s">
        <v>86</v>
      </c>
      <c r="G22" s="103">
        <v>60</v>
      </c>
      <c r="H22" s="93" t="s">
        <v>30</v>
      </c>
      <c r="I22" s="105">
        <f>935000/1.11</f>
        <v>842342.34234234225</v>
      </c>
      <c r="J22" s="106">
        <f t="shared" si="44"/>
        <v>92657.657657657648</v>
      </c>
      <c r="K22" s="106">
        <f t="shared" si="45"/>
        <v>934999.99999999988</v>
      </c>
      <c r="L22" s="106">
        <f t="shared" si="46"/>
        <v>56099999.999999993</v>
      </c>
      <c r="M22" s="105">
        <v>835000</v>
      </c>
      <c r="N22" s="106">
        <f t="shared" si="47"/>
        <v>91850</v>
      </c>
      <c r="O22" s="106">
        <f t="shared" si="48"/>
        <v>926850</v>
      </c>
      <c r="P22" s="106">
        <f t="shared" si="49"/>
        <v>55611000</v>
      </c>
      <c r="Q22" s="107">
        <v>775000</v>
      </c>
      <c r="R22" s="106">
        <f t="shared" si="37"/>
        <v>85250</v>
      </c>
      <c r="S22" s="106">
        <f t="shared" si="38"/>
        <v>860250</v>
      </c>
      <c r="T22" s="106">
        <f t="shared" si="39"/>
        <v>51615000</v>
      </c>
      <c r="U22" s="94">
        <f t="shared" si="40"/>
        <v>440540.540540535</v>
      </c>
      <c r="V22" s="94">
        <f t="shared" si="41"/>
        <v>60000</v>
      </c>
      <c r="W22" s="94">
        <f t="shared" si="42"/>
        <v>3600000</v>
      </c>
      <c r="X22" s="94">
        <v>0</v>
      </c>
      <c r="Y22" s="109">
        <f t="shared" si="43"/>
        <v>0</v>
      </c>
      <c r="Z22" s="114"/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4"/>
      <c r="AM22" s="114"/>
      <c r="AN22" s="114"/>
      <c r="AO22" s="114"/>
      <c r="AP22" s="114"/>
      <c r="AQ22" s="114"/>
      <c r="AR22" s="114"/>
      <c r="AS22" s="114"/>
      <c r="AT22" s="114"/>
      <c r="AU22" s="95"/>
      <c r="AV22" s="95"/>
      <c r="AW22" s="95"/>
    </row>
    <row r="23" spans="1:49" s="115" customFormat="1" ht="21" hidden="1" customHeight="1">
      <c r="A23" s="92">
        <v>21</v>
      </c>
      <c r="B23" s="99">
        <v>46133</v>
      </c>
      <c r="C23" s="100" t="s">
        <v>34</v>
      </c>
      <c r="D23" s="101" t="s">
        <v>2</v>
      </c>
      <c r="E23" s="102" t="s">
        <v>88</v>
      </c>
      <c r="F23" s="97" t="s">
        <v>89</v>
      </c>
      <c r="G23" s="103">
        <v>19</v>
      </c>
      <c r="H23" s="104" t="s">
        <v>27</v>
      </c>
      <c r="I23" s="105">
        <v>850000</v>
      </c>
      <c r="J23" s="106">
        <f t="shared" si="44"/>
        <v>93500</v>
      </c>
      <c r="K23" s="106">
        <f t="shared" si="45"/>
        <v>943500</v>
      </c>
      <c r="L23" s="106">
        <f t="shared" si="46"/>
        <v>17926500</v>
      </c>
      <c r="M23" s="105">
        <v>850000</v>
      </c>
      <c r="N23" s="106">
        <f t="shared" si="47"/>
        <v>93500</v>
      </c>
      <c r="O23" s="106">
        <f t="shared" si="48"/>
        <v>943500</v>
      </c>
      <c r="P23" s="106">
        <f t="shared" si="49"/>
        <v>17926500</v>
      </c>
      <c r="Q23" s="107">
        <v>770000</v>
      </c>
      <c r="R23" s="106">
        <f t="shared" si="37"/>
        <v>84700</v>
      </c>
      <c r="S23" s="106">
        <f t="shared" si="38"/>
        <v>854700</v>
      </c>
      <c r="T23" s="106">
        <f t="shared" si="39"/>
        <v>16239300</v>
      </c>
      <c r="U23" s="94">
        <f t="shared" si="40"/>
        <v>0</v>
      </c>
      <c r="V23" s="94">
        <f t="shared" si="41"/>
        <v>80000</v>
      </c>
      <c r="W23" s="94">
        <f t="shared" si="42"/>
        <v>1520000</v>
      </c>
      <c r="X23" s="94">
        <v>0</v>
      </c>
      <c r="Y23" s="109">
        <f t="shared" si="43"/>
        <v>0</v>
      </c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</row>
    <row r="24" spans="1:49" s="110" customFormat="1" ht="21" hidden="1" customHeight="1">
      <c r="A24" s="92">
        <v>22</v>
      </c>
      <c r="B24" s="99">
        <v>46133</v>
      </c>
      <c r="C24" s="100" t="s">
        <v>34</v>
      </c>
      <c r="D24" s="101" t="s">
        <v>21</v>
      </c>
      <c r="E24" s="102" t="s">
        <v>131</v>
      </c>
      <c r="F24" s="97" t="s">
        <v>90</v>
      </c>
      <c r="G24" s="103">
        <v>27.5</v>
      </c>
      <c r="H24" s="104" t="s">
        <v>25</v>
      </c>
      <c r="I24" s="105">
        <v>800000</v>
      </c>
      <c r="J24" s="108">
        <f t="shared" si="44"/>
        <v>88000</v>
      </c>
      <c r="K24" s="108">
        <f t="shared" si="45"/>
        <v>888000</v>
      </c>
      <c r="L24" s="108">
        <f t="shared" si="46"/>
        <v>24420000</v>
      </c>
      <c r="M24" s="105">
        <v>800000</v>
      </c>
      <c r="N24" s="108">
        <f t="shared" si="47"/>
        <v>88000</v>
      </c>
      <c r="O24" s="108">
        <f t="shared" si="48"/>
        <v>888000</v>
      </c>
      <c r="P24" s="108">
        <f t="shared" si="49"/>
        <v>24420000</v>
      </c>
      <c r="Q24" s="107">
        <v>705000</v>
      </c>
      <c r="R24" s="108">
        <f t="shared" si="37"/>
        <v>77550</v>
      </c>
      <c r="S24" s="108">
        <f t="shared" si="38"/>
        <v>782550</v>
      </c>
      <c r="T24" s="108">
        <f t="shared" si="39"/>
        <v>21520125</v>
      </c>
      <c r="U24" s="94">
        <f t="shared" si="40"/>
        <v>0</v>
      </c>
      <c r="V24" s="94">
        <f t="shared" si="41"/>
        <v>95000</v>
      </c>
      <c r="W24" s="94">
        <f t="shared" si="42"/>
        <v>2612500</v>
      </c>
      <c r="X24" s="94">
        <v>0</v>
      </c>
      <c r="Y24" s="109">
        <f t="shared" si="43"/>
        <v>0</v>
      </c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</row>
    <row r="25" spans="1:49" s="115" customFormat="1" ht="21" hidden="1" customHeight="1">
      <c r="A25" s="111">
        <v>23</v>
      </c>
      <c r="B25" s="99">
        <v>46134</v>
      </c>
      <c r="C25" s="100" t="s">
        <v>34</v>
      </c>
      <c r="D25" s="101" t="s">
        <v>129</v>
      </c>
      <c r="E25" s="102" t="s">
        <v>87</v>
      </c>
      <c r="F25" s="97" t="s">
        <v>86</v>
      </c>
      <c r="G25" s="103">
        <v>75</v>
      </c>
      <c r="H25" s="93" t="s">
        <v>30</v>
      </c>
      <c r="I25" s="105">
        <f>935000/1.11</f>
        <v>842342.34234234225</v>
      </c>
      <c r="J25" s="106">
        <f t="shared" ref="J25:J29" si="50">I25*11%</f>
        <v>92657.657657657648</v>
      </c>
      <c r="K25" s="106">
        <f t="shared" ref="K25:K29" si="51">I25+J25</f>
        <v>934999.99999999988</v>
      </c>
      <c r="L25" s="106">
        <f t="shared" ref="L25:L29" si="52">K25*G25</f>
        <v>70124999.999999985</v>
      </c>
      <c r="M25" s="105">
        <v>835000</v>
      </c>
      <c r="N25" s="106">
        <f t="shared" ref="N25:N29" si="53">M25*11%</f>
        <v>91850</v>
      </c>
      <c r="O25" s="106">
        <f t="shared" ref="O25:O29" si="54">M25+N25</f>
        <v>926850</v>
      </c>
      <c r="P25" s="106">
        <f t="shared" ref="P25:P29" si="55">O25*G25</f>
        <v>69513750</v>
      </c>
      <c r="Q25" s="107">
        <v>775000</v>
      </c>
      <c r="R25" s="108">
        <f t="shared" si="37"/>
        <v>85250</v>
      </c>
      <c r="S25" s="108">
        <f t="shared" si="38"/>
        <v>860250</v>
      </c>
      <c r="T25" s="108">
        <f t="shared" si="39"/>
        <v>64518750</v>
      </c>
      <c r="U25" s="94">
        <f t="shared" si="40"/>
        <v>550675.67567566875</v>
      </c>
      <c r="V25" s="94">
        <f t="shared" si="41"/>
        <v>60000</v>
      </c>
      <c r="W25" s="94">
        <f t="shared" si="42"/>
        <v>4500000</v>
      </c>
      <c r="X25" s="94">
        <v>0</v>
      </c>
      <c r="Y25" s="109">
        <f t="shared" si="43"/>
        <v>0</v>
      </c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</row>
    <row r="26" spans="1:49" s="115" customFormat="1" ht="21" hidden="1" customHeight="1">
      <c r="A26" s="92">
        <v>24</v>
      </c>
      <c r="B26" s="99">
        <v>46135</v>
      </c>
      <c r="C26" s="100" t="s">
        <v>34</v>
      </c>
      <c r="D26" s="101" t="s">
        <v>2</v>
      </c>
      <c r="E26" s="102" t="s">
        <v>72</v>
      </c>
      <c r="F26" s="97" t="s">
        <v>38</v>
      </c>
      <c r="G26" s="103">
        <v>84</v>
      </c>
      <c r="H26" s="93" t="s">
        <v>91</v>
      </c>
      <c r="I26" s="105">
        <v>850000</v>
      </c>
      <c r="J26" s="106">
        <f t="shared" si="50"/>
        <v>93500</v>
      </c>
      <c r="K26" s="106">
        <f t="shared" si="51"/>
        <v>943500</v>
      </c>
      <c r="L26" s="106">
        <f t="shared" si="52"/>
        <v>79254000</v>
      </c>
      <c r="M26" s="105">
        <v>840000</v>
      </c>
      <c r="N26" s="106">
        <f t="shared" si="53"/>
        <v>92400</v>
      </c>
      <c r="O26" s="106">
        <f t="shared" si="54"/>
        <v>932400</v>
      </c>
      <c r="P26" s="106">
        <f t="shared" si="55"/>
        <v>78321600</v>
      </c>
      <c r="Q26" s="107">
        <v>750000</v>
      </c>
      <c r="R26" s="108">
        <f t="shared" si="37"/>
        <v>82500</v>
      </c>
      <c r="S26" s="108">
        <f t="shared" si="38"/>
        <v>832500</v>
      </c>
      <c r="T26" s="108">
        <f t="shared" si="39"/>
        <v>69930000</v>
      </c>
      <c r="U26" s="94">
        <f t="shared" si="40"/>
        <v>840000</v>
      </c>
      <c r="V26" s="94">
        <f t="shared" si="41"/>
        <v>90000</v>
      </c>
      <c r="W26" s="94">
        <f t="shared" si="42"/>
        <v>7560000</v>
      </c>
      <c r="X26" s="94">
        <v>0</v>
      </c>
      <c r="Y26" s="109">
        <f t="shared" si="43"/>
        <v>0</v>
      </c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114"/>
      <c r="AV26" s="114"/>
      <c r="AW26" s="114"/>
    </row>
    <row r="27" spans="1:49" s="115" customFormat="1" ht="21" hidden="1" customHeight="1">
      <c r="A27" s="92">
        <v>25</v>
      </c>
      <c r="B27" s="99">
        <v>46137</v>
      </c>
      <c r="C27" s="100" t="s">
        <v>34</v>
      </c>
      <c r="D27" s="101" t="s">
        <v>2</v>
      </c>
      <c r="E27" s="102" t="s">
        <v>70</v>
      </c>
      <c r="F27" s="97" t="s">
        <v>71</v>
      </c>
      <c r="G27" s="103">
        <v>16</v>
      </c>
      <c r="H27" s="93" t="s">
        <v>27</v>
      </c>
      <c r="I27" s="105">
        <v>800000</v>
      </c>
      <c r="J27" s="108">
        <f t="shared" si="50"/>
        <v>88000</v>
      </c>
      <c r="K27" s="106">
        <f t="shared" si="51"/>
        <v>888000</v>
      </c>
      <c r="L27" s="108">
        <f t="shared" si="52"/>
        <v>14208000</v>
      </c>
      <c r="M27" s="105">
        <v>800000</v>
      </c>
      <c r="N27" s="108">
        <f t="shared" si="53"/>
        <v>88000</v>
      </c>
      <c r="O27" s="108">
        <f t="shared" si="54"/>
        <v>888000</v>
      </c>
      <c r="P27" s="108">
        <f t="shared" si="55"/>
        <v>14208000</v>
      </c>
      <c r="Q27" s="107">
        <v>750000</v>
      </c>
      <c r="R27" s="108">
        <f t="shared" si="37"/>
        <v>82500</v>
      </c>
      <c r="S27" s="108">
        <f t="shared" si="38"/>
        <v>832500</v>
      </c>
      <c r="T27" s="108">
        <f t="shared" si="39"/>
        <v>13320000</v>
      </c>
      <c r="U27" s="94">
        <f t="shared" si="40"/>
        <v>0</v>
      </c>
      <c r="V27" s="94">
        <f t="shared" si="41"/>
        <v>50000</v>
      </c>
      <c r="W27" s="94">
        <f t="shared" si="42"/>
        <v>800000</v>
      </c>
      <c r="X27" s="94">
        <v>0</v>
      </c>
      <c r="Y27" s="109">
        <f t="shared" si="43"/>
        <v>0</v>
      </c>
      <c r="Z27" s="114"/>
      <c r="AA27" s="114"/>
      <c r="AB27" s="114"/>
      <c r="AC27" s="114"/>
      <c r="AD27" s="114"/>
      <c r="AE27" s="114"/>
      <c r="AF27" s="114"/>
      <c r="AG27" s="114"/>
      <c r="AH27" s="114"/>
      <c r="AI27" s="114"/>
      <c r="AJ27" s="114"/>
      <c r="AK27" s="114"/>
      <c r="AL27" s="114"/>
      <c r="AM27" s="114"/>
      <c r="AN27" s="114"/>
      <c r="AO27" s="114"/>
      <c r="AP27" s="114"/>
      <c r="AQ27" s="114"/>
      <c r="AR27" s="114"/>
      <c r="AS27" s="114"/>
      <c r="AT27" s="114"/>
      <c r="AU27" s="114"/>
      <c r="AV27" s="114"/>
      <c r="AW27" s="114"/>
    </row>
    <row r="28" spans="1:49" s="115" customFormat="1" ht="21" hidden="1" customHeight="1">
      <c r="A28" s="111">
        <v>26</v>
      </c>
      <c r="B28" s="99">
        <v>46137</v>
      </c>
      <c r="C28" s="100" t="s">
        <v>34</v>
      </c>
      <c r="D28" s="101" t="s">
        <v>21</v>
      </c>
      <c r="E28" s="102" t="s">
        <v>131</v>
      </c>
      <c r="F28" s="97" t="s">
        <v>90</v>
      </c>
      <c r="G28" s="103">
        <v>31</v>
      </c>
      <c r="H28" s="104" t="s">
        <v>25</v>
      </c>
      <c r="I28" s="105">
        <v>800000</v>
      </c>
      <c r="J28" s="108">
        <f t="shared" si="50"/>
        <v>88000</v>
      </c>
      <c r="K28" s="108">
        <f t="shared" si="51"/>
        <v>888000</v>
      </c>
      <c r="L28" s="108">
        <f t="shared" si="52"/>
        <v>27528000</v>
      </c>
      <c r="M28" s="105">
        <v>800000</v>
      </c>
      <c r="N28" s="108">
        <f t="shared" si="53"/>
        <v>88000</v>
      </c>
      <c r="O28" s="108">
        <f t="shared" si="54"/>
        <v>888000</v>
      </c>
      <c r="P28" s="108">
        <f t="shared" si="55"/>
        <v>27528000</v>
      </c>
      <c r="Q28" s="107">
        <v>725000</v>
      </c>
      <c r="R28" s="108">
        <f t="shared" si="37"/>
        <v>79750</v>
      </c>
      <c r="S28" s="108">
        <f t="shared" si="38"/>
        <v>804750</v>
      </c>
      <c r="T28" s="108">
        <f t="shared" si="39"/>
        <v>24947250</v>
      </c>
      <c r="U28" s="94">
        <f t="shared" si="40"/>
        <v>0</v>
      </c>
      <c r="V28" s="94">
        <f t="shared" si="41"/>
        <v>75000</v>
      </c>
      <c r="W28" s="94">
        <f t="shared" si="42"/>
        <v>2325000</v>
      </c>
      <c r="X28" s="94">
        <v>0</v>
      </c>
      <c r="Y28" s="109">
        <f t="shared" si="43"/>
        <v>0</v>
      </c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114"/>
      <c r="AV28" s="114"/>
      <c r="AW28" s="114"/>
    </row>
    <row r="29" spans="1:49" s="114" customFormat="1" ht="21" hidden="1" customHeight="1">
      <c r="A29" s="92">
        <v>27</v>
      </c>
      <c r="B29" s="99">
        <v>46139</v>
      </c>
      <c r="C29" s="100" t="s">
        <v>34</v>
      </c>
      <c r="D29" s="101" t="s">
        <v>129</v>
      </c>
      <c r="E29" s="102" t="s">
        <v>87</v>
      </c>
      <c r="F29" s="97" t="s">
        <v>86</v>
      </c>
      <c r="G29" s="103">
        <v>90</v>
      </c>
      <c r="H29" s="93" t="s">
        <v>30</v>
      </c>
      <c r="I29" s="105">
        <f>935000/1.11</f>
        <v>842342.34234234225</v>
      </c>
      <c r="J29" s="106">
        <f t="shared" si="50"/>
        <v>92657.657657657648</v>
      </c>
      <c r="K29" s="106">
        <f t="shared" si="51"/>
        <v>934999.99999999988</v>
      </c>
      <c r="L29" s="106">
        <f t="shared" si="52"/>
        <v>84149999.999999985</v>
      </c>
      <c r="M29" s="105">
        <v>835000</v>
      </c>
      <c r="N29" s="106">
        <f t="shared" si="53"/>
        <v>91850</v>
      </c>
      <c r="O29" s="106">
        <f t="shared" si="54"/>
        <v>926850</v>
      </c>
      <c r="P29" s="106">
        <f t="shared" si="55"/>
        <v>83416500</v>
      </c>
      <c r="Q29" s="107">
        <v>775000</v>
      </c>
      <c r="R29" s="106">
        <f t="shared" si="37"/>
        <v>85250</v>
      </c>
      <c r="S29" s="106">
        <f t="shared" si="38"/>
        <v>860250</v>
      </c>
      <c r="T29" s="106">
        <f t="shared" si="39"/>
        <v>77422500</v>
      </c>
      <c r="U29" s="94">
        <f t="shared" si="40"/>
        <v>660810.8108108025</v>
      </c>
      <c r="V29" s="94">
        <f t="shared" si="41"/>
        <v>60000</v>
      </c>
      <c r="W29" s="94">
        <f t="shared" si="42"/>
        <v>5400000</v>
      </c>
      <c r="X29" s="94">
        <v>0</v>
      </c>
      <c r="Y29" s="109">
        <f t="shared" si="43"/>
        <v>0</v>
      </c>
    </row>
    <row r="30" spans="1:49" s="110" customFormat="1" ht="21" hidden="1" customHeight="1">
      <c r="A30" s="92">
        <v>28</v>
      </c>
      <c r="B30" s="99">
        <v>46139</v>
      </c>
      <c r="C30" s="100" t="s">
        <v>34</v>
      </c>
      <c r="D30" s="101" t="s">
        <v>2</v>
      </c>
      <c r="E30" s="102" t="s">
        <v>92</v>
      </c>
      <c r="F30" s="97" t="s">
        <v>93</v>
      </c>
      <c r="G30" s="103">
        <v>11</v>
      </c>
      <c r="H30" s="104" t="s">
        <v>25</v>
      </c>
      <c r="I30" s="105">
        <v>790000</v>
      </c>
      <c r="J30" s="108">
        <f t="shared" si="44"/>
        <v>86900</v>
      </c>
      <c r="K30" s="108">
        <f t="shared" si="45"/>
        <v>876900</v>
      </c>
      <c r="L30" s="108">
        <f t="shared" si="46"/>
        <v>9645900</v>
      </c>
      <c r="M30" s="105">
        <v>790000</v>
      </c>
      <c r="N30" s="108">
        <f t="shared" si="47"/>
        <v>86900</v>
      </c>
      <c r="O30" s="108">
        <f t="shared" si="48"/>
        <v>876900</v>
      </c>
      <c r="P30" s="108">
        <f t="shared" si="49"/>
        <v>9645900</v>
      </c>
      <c r="Q30" s="107">
        <v>750000</v>
      </c>
      <c r="R30" s="108">
        <f t="shared" si="37"/>
        <v>82500</v>
      </c>
      <c r="S30" s="108">
        <f t="shared" si="38"/>
        <v>832500</v>
      </c>
      <c r="T30" s="108">
        <f t="shared" si="39"/>
        <v>9157500</v>
      </c>
      <c r="U30" s="94">
        <f t="shared" si="40"/>
        <v>0</v>
      </c>
      <c r="V30" s="94">
        <f t="shared" si="41"/>
        <v>40000</v>
      </c>
      <c r="W30" s="94">
        <f t="shared" si="42"/>
        <v>440000</v>
      </c>
      <c r="X30" s="94">
        <v>0</v>
      </c>
      <c r="Y30" s="109">
        <f t="shared" si="43"/>
        <v>0</v>
      </c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</row>
    <row r="31" spans="1:49" s="115" customFormat="1" ht="21" hidden="1" customHeight="1">
      <c r="A31" s="111">
        <v>29</v>
      </c>
      <c r="B31" s="99">
        <v>46141</v>
      </c>
      <c r="C31" s="100" t="s">
        <v>34</v>
      </c>
      <c r="D31" s="101" t="s">
        <v>129</v>
      </c>
      <c r="E31" s="102" t="s">
        <v>87</v>
      </c>
      <c r="F31" s="97" t="s">
        <v>86</v>
      </c>
      <c r="G31" s="103">
        <v>80</v>
      </c>
      <c r="H31" s="93" t="s">
        <v>30</v>
      </c>
      <c r="I31" s="105">
        <f>935000/1.11</f>
        <v>842342.34234234225</v>
      </c>
      <c r="J31" s="106">
        <f t="shared" si="44"/>
        <v>92657.657657657648</v>
      </c>
      <c r="K31" s="106">
        <f t="shared" si="45"/>
        <v>934999.99999999988</v>
      </c>
      <c r="L31" s="106">
        <f t="shared" si="46"/>
        <v>74799999.999999985</v>
      </c>
      <c r="M31" s="105">
        <v>835000</v>
      </c>
      <c r="N31" s="106">
        <f t="shared" si="47"/>
        <v>91850</v>
      </c>
      <c r="O31" s="106">
        <f t="shared" si="48"/>
        <v>926850</v>
      </c>
      <c r="P31" s="106">
        <f t="shared" si="49"/>
        <v>74148000</v>
      </c>
      <c r="Q31" s="107">
        <v>775000</v>
      </c>
      <c r="R31" s="108">
        <f t="shared" si="37"/>
        <v>85250</v>
      </c>
      <c r="S31" s="108">
        <f t="shared" si="38"/>
        <v>860250</v>
      </c>
      <c r="T31" s="108">
        <f t="shared" si="39"/>
        <v>68820000</v>
      </c>
      <c r="U31" s="94">
        <f t="shared" si="40"/>
        <v>587387.38738738</v>
      </c>
      <c r="V31" s="94">
        <f t="shared" si="41"/>
        <v>60000</v>
      </c>
      <c r="W31" s="94">
        <f t="shared" si="42"/>
        <v>4800000</v>
      </c>
      <c r="X31" s="94">
        <v>0</v>
      </c>
      <c r="Y31" s="109">
        <f t="shared" si="43"/>
        <v>0</v>
      </c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14"/>
      <c r="AN31" s="114"/>
      <c r="AO31" s="114"/>
      <c r="AP31" s="114"/>
      <c r="AQ31" s="114"/>
      <c r="AR31" s="114"/>
      <c r="AS31" s="114"/>
      <c r="AT31" s="114"/>
      <c r="AU31" s="114"/>
      <c r="AV31" s="114"/>
      <c r="AW31" s="114"/>
    </row>
    <row r="32" spans="1:49" s="113" customFormat="1" ht="21" hidden="1" customHeight="1">
      <c r="A32" s="92">
        <v>30</v>
      </c>
      <c r="B32" s="99">
        <v>46141</v>
      </c>
      <c r="C32" s="100" t="s">
        <v>34</v>
      </c>
      <c r="D32" s="101" t="s">
        <v>2</v>
      </c>
      <c r="E32" s="102" t="s">
        <v>88</v>
      </c>
      <c r="F32" s="97" t="s">
        <v>89</v>
      </c>
      <c r="G32" s="103">
        <v>15</v>
      </c>
      <c r="H32" s="104" t="s">
        <v>27</v>
      </c>
      <c r="I32" s="105">
        <v>850000</v>
      </c>
      <c r="J32" s="106">
        <f t="shared" ref="J32" si="56">I32*11%</f>
        <v>93500</v>
      </c>
      <c r="K32" s="106">
        <f t="shared" ref="K32" si="57">I32+J32</f>
        <v>943500</v>
      </c>
      <c r="L32" s="106">
        <f t="shared" ref="L32" si="58">K32*G32</f>
        <v>14152500</v>
      </c>
      <c r="M32" s="105">
        <v>850000</v>
      </c>
      <c r="N32" s="106">
        <f t="shared" ref="N32" si="59">M32*11%</f>
        <v>93500</v>
      </c>
      <c r="O32" s="106">
        <f t="shared" ref="O32" si="60">M32+N32</f>
        <v>943500</v>
      </c>
      <c r="P32" s="106">
        <f t="shared" ref="P32" si="61">O32*G32</f>
        <v>14152500</v>
      </c>
      <c r="Q32" s="107">
        <v>770000</v>
      </c>
      <c r="R32" s="106">
        <f t="shared" si="37"/>
        <v>84700</v>
      </c>
      <c r="S32" s="106">
        <f t="shared" si="38"/>
        <v>854700</v>
      </c>
      <c r="T32" s="106">
        <f t="shared" si="39"/>
        <v>12820500</v>
      </c>
      <c r="U32" s="94">
        <f t="shared" si="40"/>
        <v>0</v>
      </c>
      <c r="V32" s="94">
        <f t="shared" si="41"/>
        <v>80000</v>
      </c>
      <c r="W32" s="94">
        <f t="shared" si="42"/>
        <v>1200000</v>
      </c>
      <c r="X32" s="94">
        <v>0</v>
      </c>
      <c r="Y32" s="109">
        <f t="shared" si="43"/>
        <v>0</v>
      </c>
      <c r="Z32" s="114"/>
      <c r="AA32" s="114"/>
      <c r="AB32" s="114"/>
      <c r="AC32" s="114"/>
      <c r="AD32" s="114"/>
      <c r="AE32" s="114"/>
      <c r="AF32" s="114"/>
      <c r="AG32" s="114"/>
      <c r="AH32" s="114"/>
      <c r="AI32" s="114"/>
      <c r="AJ32" s="114"/>
      <c r="AK32" s="114"/>
      <c r="AL32" s="114"/>
      <c r="AM32" s="114"/>
      <c r="AN32" s="114"/>
      <c r="AO32" s="114"/>
      <c r="AP32" s="114"/>
      <c r="AQ32" s="114"/>
      <c r="AR32" s="114"/>
      <c r="AS32" s="114"/>
      <c r="AT32" s="114"/>
      <c r="AU32" s="112"/>
      <c r="AV32" s="112"/>
      <c r="AW32" s="112"/>
    </row>
    <row r="33" spans="1:49" s="114" customFormat="1" ht="21" hidden="1" customHeight="1">
      <c r="A33" s="92">
        <v>31</v>
      </c>
      <c r="B33" s="99">
        <v>46142</v>
      </c>
      <c r="C33" s="100" t="s">
        <v>34</v>
      </c>
      <c r="D33" s="101" t="s">
        <v>2</v>
      </c>
      <c r="E33" s="102" t="s">
        <v>70</v>
      </c>
      <c r="F33" s="97" t="s">
        <v>71</v>
      </c>
      <c r="G33" s="103">
        <v>10</v>
      </c>
      <c r="H33" s="93" t="s">
        <v>27</v>
      </c>
      <c r="I33" s="105">
        <v>800000</v>
      </c>
      <c r="J33" s="106">
        <f t="shared" ref="J33:J34" si="62">I33*11%</f>
        <v>88000</v>
      </c>
      <c r="K33" s="106">
        <f t="shared" ref="K33:K34" si="63">I33+J33</f>
        <v>888000</v>
      </c>
      <c r="L33" s="108">
        <f t="shared" ref="L33:L34" si="64">K33*G33</f>
        <v>8880000</v>
      </c>
      <c r="M33" s="105">
        <v>800000</v>
      </c>
      <c r="N33" s="106">
        <f t="shared" ref="N33:N34" si="65">M33*11%</f>
        <v>88000</v>
      </c>
      <c r="O33" s="106">
        <f t="shared" ref="O33:O34" si="66">M33+N33</f>
        <v>888000</v>
      </c>
      <c r="P33" s="106">
        <f t="shared" ref="P33:P34" si="67">O33*G33</f>
        <v>8880000</v>
      </c>
      <c r="Q33" s="107">
        <v>750000</v>
      </c>
      <c r="R33" s="106">
        <f t="shared" ref="R33:R34" si="68">Q33*11%</f>
        <v>82500</v>
      </c>
      <c r="S33" s="106">
        <f t="shared" ref="S33:S34" si="69">Q33+R33</f>
        <v>832500</v>
      </c>
      <c r="T33" s="106">
        <f t="shared" ref="T33:T34" si="70">S33*G33</f>
        <v>8325000</v>
      </c>
      <c r="U33" s="94">
        <f t="shared" ref="U33:U34" si="71">(I33-M33)*G33</f>
        <v>0</v>
      </c>
      <c r="V33" s="94">
        <f t="shared" ref="V33:V34" si="72">M33-Q33</f>
        <v>50000</v>
      </c>
      <c r="W33" s="94">
        <f t="shared" ref="W33:W34" si="73">G33*V33</f>
        <v>500000</v>
      </c>
      <c r="X33" s="94">
        <v>0</v>
      </c>
      <c r="Y33" s="109">
        <f t="shared" ref="Y33:Y34" si="74">G33*X33</f>
        <v>0</v>
      </c>
    </row>
    <row r="34" spans="1:49" s="110" customFormat="1" ht="21" hidden="1" customHeight="1">
      <c r="A34" s="111">
        <v>32</v>
      </c>
      <c r="B34" s="99">
        <v>46142</v>
      </c>
      <c r="C34" s="100" t="s">
        <v>34</v>
      </c>
      <c r="D34" s="101" t="s">
        <v>2</v>
      </c>
      <c r="E34" s="102" t="s">
        <v>72</v>
      </c>
      <c r="F34" s="97" t="s">
        <v>38</v>
      </c>
      <c r="G34" s="103">
        <v>46</v>
      </c>
      <c r="H34" s="93" t="s">
        <v>91</v>
      </c>
      <c r="I34" s="105">
        <v>850000</v>
      </c>
      <c r="J34" s="108">
        <f t="shared" si="62"/>
        <v>93500</v>
      </c>
      <c r="K34" s="108">
        <f t="shared" si="63"/>
        <v>943500</v>
      </c>
      <c r="L34" s="108">
        <f t="shared" si="64"/>
        <v>43401000</v>
      </c>
      <c r="M34" s="105">
        <v>840000</v>
      </c>
      <c r="N34" s="108">
        <f t="shared" si="65"/>
        <v>92400</v>
      </c>
      <c r="O34" s="108">
        <f t="shared" si="66"/>
        <v>932400</v>
      </c>
      <c r="P34" s="108">
        <f t="shared" si="67"/>
        <v>42890400</v>
      </c>
      <c r="Q34" s="107">
        <v>750000</v>
      </c>
      <c r="R34" s="108">
        <f t="shared" si="68"/>
        <v>82500</v>
      </c>
      <c r="S34" s="108">
        <f t="shared" si="69"/>
        <v>832500</v>
      </c>
      <c r="T34" s="108">
        <f t="shared" si="70"/>
        <v>38295000</v>
      </c>
      <c r="U34" s="94">
        <f t="shared" si="71"/>
        <v>460000</v>
      </c>
      <c r="V34" s="94">
        <f t="shared" si="72"/>
        <v>90000</v>
      </c>
      <c r="W34" s="94">
        <f t="shared" si="73"/>
        <v>4140000</v>
      </c>
      <c r="X34" s="94">
        <v>0</v>
      </c>
      <c r="Y34" s="109">
        <f t="shared" si="74"/>
        <v>0</v>
      </c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</row>
    <row r="35" spans="1:49" s="115" customFormat="1" ht="21" customHeight="1">
      <c r="A35" s="116"/>
      <c r="B35" s="117"/>
      <c r="C35" s="98"/>
      <c r="D35" s="96"/>
      <c r="E35" s="93"/>
      <c r="F35" s="93"/>
      <c r="G35" s="118"/>
      <c r="H35" s="93"/>
      <c r="I35" s="119"/>
      <c r="J35" s="120"/>
      <c r="K35" s="120"/>
      <c r="L35" s="120"/>
      <c r="M35" s="119"/>
      <c r="N35" s="120"/>
      <c r="O35" s="120"/>
      <c r="P35" s="120"/>
      <c r="Q35" s="119"/>
      <c r="R35" s="120"/>
      <c r="S35" s="120"/>
      <c r="T35" s="120"/>
      <c r="U35" s="121"/>
      <c r="V35" s="121"/>
      <c r="W35" s="120"/>
      <c r="X35" s="119"/>
      <c r="Y35" s="122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4"/>
      <c r="AQ35" s="114"/>
      <c r="AR35" s="114"/>
      <c r="AS35" s="114"/>
      <c r="AT35" s="114"/>
      <c r="AU35" s="114"/>
      <c r="AV35" s="114"/>
      <c r="AW35" s="114"/>
    </row>
    <row r="36" spans="1:49" s="115" customFormat="1" ht="21" customHeight="1">
      <c r="A36" s="116"/>
      <c r="B36" s="117"/>
      <c r="C36" s="98"/>
      <c r="D36" s="96"/>
      <c r="E36" s="93"/>
      <c r="F36" s="93"/>
      <c r="G36" s="118"/>
      <c r="H36" s="93"/>
      <c r="I36" s="119"/>
      <c r="J36" s="120"/>
      <c r="K36" s="120"/>
      <c r="L36" s="120"/>
      <c r="M36" s="119"/>
      <c r="N36" s="120"/>
      <c r="O36" s="120"/>
      <c r="P36" s="120"/>
      <c r="Q36" s="119"/>
      <c r="R36" s="120"/>
      <c r="S36" s="120"/>
      <c r="T36" s="120"/>
      <c r="U36" s="121"/>
      <c r="V36" s="121"/>
      <c r="W36" s="120"/>
      <c r="X36" s="119"/>
      <c r="Y36" s="122"/>
      <c r="Z36" s="114"/>
      <c r="AA36" s="114"/>
      <c r="AB36" s="114"/>
      <c r="AC36" s="114"/>
      <c r="AD36" s="114"/>
      <c r="AE36" s="114"/>
      <c r="AF36" s="114"/>
      <c r="AG36" s="114"/>
      <c r="AH36" s="114"/>
      <c r="AI36" s="114"/>
      <c r="AJ36" s="114"/>
      <c r="AK36" s="114"/>
      <c r="AL36" s="114"/>
      <c r="AM36" s="114"/>
      <c r="AN36" s="114"/>
      <c r="AO36" s="114"/>
      <c r="AP36" s="114"/>
      <c r="AQ36" s="114"/>
      <c r="AR36" s="114"/>
      <c r="AS36" s="114"/>
      <c r="AT36" s="114"/>
      <c r="AU36" s="114"/>
      <c r="AV36" s="114"/>
      <c r="AW36" s="114"/>
    </row>
    <row r="37" spans="1:49" s="114" customFormat="1" ht="21" customHeight="1">
      <c r="A37" s="123"/>
      <c r="B37" s="124" t="s">
        <v>11</v>
      </c>
      <c r="C37" s="125"/>
      <c r="D37" s="123"/>
      <c r="E37" s="126"/>
      <c r="F37" s="126"/>
      <c r="G37" s="127">
        <f>SUM(G3:G36)</f>
        <v>932.5</v>
      </c>
      <c r="H37" s="128"/>
      <c r="I37" s="129"/>
      <c r="J37" s="130"/>
      <c r="K37" s="130"/>
      <c r="L37" s="131">
        <f>SUM(L3:L36)</f>
        <v>841723750</v>
      </c>
      <c r="M37" s="129"/>
      <c r="N37" s="130"/>
      <c r="O37" s="130"/>
      <c r="P37" s="131">
        <f>SUM(P3:P36)</f>
        <v>833233500</v>
      </c>
      <c r="Q37" s="129"/>
      <c r="R37" s="130"/>
      <c r="S37" s="130"/>
      <c r="T37" s="131">
        <f>SUM(T3:T36)</f>
        <v>767800875</v>
      </c>
      <c r="U37" s="132">
        <f>SUM(U1:U32)</f>
        <v>7188873.8738738447</v>
      </c>
      <c r="V37" s="129"/>
      <c r="W37" s="132">
        <f>SUM(W3:W36)</f>
        <v>58948310.810810804</v>
      </c>
      <c r="X37" s="133">
        <f>W37/G37</f>
        <v>63215.346714006228</v>
      </c>
      <c r="Y37" s="134">
        <f>SUM(Y35:Y36)</f>
        <v>0</v>
      </c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</row>
    <row r="38" spans="1:49" s="4" customFormat="1">
      <c r="A38" s="1"/>
      <c r="B38" s="1"/>
      <c r="C38" s="1"/>
      <c r="D38" s="1"/>
      <c r="F38" s="18"/>
      <c r="Q38" s="16"/>
      <c r="S38" s="15"/>
    </row>
    <row r="39" spans="1:49" s="4" customFormat="1">
      <c r="A39" s="1"/>
      <c r="B39" s="1"/>
      <c r="C39" s="1"/>
      <c r="D39" s="1"/>
      <c r="F39" s="18"/>
      <c r="Q39" s="16"/>
      <c r="S39" s="15"/>
    </row>
    <row r="40" spans="1:49" s="58" customFormat="1" ht="13.2">
      <c r="A40" s="52"/>
      <c r="B40" s="52"/>
      <c r="C40" s="52"/>
      <c r="D40" s="52"/>
      <c r="E40" s="52"/>
      <c r="F40" s="52"/>
      <c r="H40" s="52"/>
      <c r="I40" s="52"/>
      <c r="Q40" s="59"/>
      <c r="S40" s="60"/>
    </row>
    <row r="41" spans="1:49" s="58" customFormat="1" ht="13.2">
      <c r="A41" s="52"/>
      <c r="B41" s="52"/>
      <c r="C41" s="52"/>
      <c r="D41" s="52"/>
      <c r="E41" s="52"/>
      <c r="F41" s="52"/>
      <c r="H41" s="52"/>
      <c r="I41" s="52"/>
      <c r="Q41" s="59"/>
      <c r="S41" s="60"/>
    </row>
    <row r="42" spans="1:49" s="53" customFormat="1" ht="13.2">
      <c r="A42" s="51"/>
      <c r="B42" s="51"/>
      <c r="C42" s="51"/>
      <c r="D42" s="51"/>
      <c r="E42" s="51"/>
      <c r="F42" s="51"/>
      <c r="G42" s="58"/>
      <c r="H42" s="51"/>
      <c r="I42" s="51"/>
      <c r="Q42" s="54"/>
    </row>
    <row r="43" spans="1:49" s="53" customFormat="1" ht="13.2">
      <c r="A43" s="51"/>
      <c r="B43" s="51"/>
      <c r="C43" s="51"/>
      <c r="D43" s="51"/>
      <c r="E43" s="51"/>
      <c r="F43" s="51"/>
      <c r="G43" s="58"/>
      <c r="H43" s="51"/>
      <c r="I43" s="51"/>
    </row>
    <row r="44" spans="1:49" s="53" customFormat="1" ht="13.2">
      <c r="A44" s="51"/>
      <c r="B44" s="51"/>
      <c r="C44" s="51"/>
      <c r="D44" s="51"/>
      <c r="E44" s="51"/>
      <c r="F44" s="51"/>
      <c r="G44" s="58"/>
      <c r="H44" s="51"/>
      <c r="I44" s="51"/>
    </row>
    <row r="45" spans="1:49" s="53" customFormat="1" ht="13.2">
      <c r="A45" s="51"/>
      <c r="B45" s="51"/>
      <c r="C45" s="51"/>
      <c r="D45" s="51"/>
      <c r="E45" s="51"/>
      <c r="F45" s="51"/>
      <c r="G45" s="58"/>
      <c r="H45" s="51"/>
      <c r="I45" s="51"/>
    </row>
    <row r="46" spans="1:49" s="53" customFormat="1" ht="13.2">
      <c r="A46" s="51"/>
      <c r="B46" s="51"/>
      <c r="C46" s="51"/>
      <c r="D46" s="51"/>
      <c r="E46" s="51"/>
      <c r="F46" s="51"/>
      <c r="G46" s="58"/>
      <c r="H46" s="51"/>
      <c r="I46" s="51"/>
    </row>
    <row r="47" spans="1:49" s="53" customFormat="1" ht="13.2">
      <c r="A47" s="51"/>
      <c r="B47" s="51"/>
      <c r="C47" s="51"/>
      <c r="D47" s="51"/>
      <c r="E47" s="51"/>
      <c r="F47" s="51"/>
      <c r="G47" s="58"/>
      <c r="H47" s="51"/>
      <c r="I47" s="51"/>
    </row>
    <row r="48" spans="1:49" s="53" customFormat="1" ht="13.2">
      <c r="A48" s="51"/>
      <c r="B48" s="51"/>
      <c r="C48" s="51"/>
      <c r="D48" s="51"/>
      <c r="E48" s="51"/>
      <c r="F48" s="51"/>
      <c r="G48" s="58"/>
      <c r="H48" s="51"/>
      <c r="I48" s="51"/>
    </row>
    <row r="49" spans="1:9" s="53" customFormat="1" ht="13.2">
      <c r="A49" s="51"/>
      <c r="B49" s="51"/>
      <c r="C49" s="51"/>
      <c r="D49" s="51"/>
      <c r="E49" s="51"/>
      <c r="F49" s="51"/>
      <c r="G49" s="51"/>
      <c r="H49" s="51"/>
      <c r="I49" s="51"/>
    </row>
    <row r="50" spans="1:9" s="53" customFormat="1" ht="13.2">
      <c r="A50" s="51"/>
      <c r="B50" s="51"/>
      <c r="C50" s="51"/>
      <c r="D50" s="51"/>
      <c r="E50" s="51"/>
      <c r="F50" s="51"/>
      <c r="G50" s="51"/>
      <c r="H50" s="51"/>
      <c r="I50" s="51"/>
    </row>
    <row r="51" spans="1:9" s="57" customFormat="1">
      <c r="A51" s="55"/>
      <c r="B51" s="55"/>
      <c r="C51" s="56"/>
      <c r="D51" s="56"/>
      <c r="E51" s="55"/>
      <c r="F51" s="55"/>
      <c r="G51" s="55"/>
      <c r="H51" s="55"/>
      <c r="I51" s="55"/>
    </row>
  </sheetData>
  <autoFilter ref="A2:Y34" xr:uid="{00000000-0001-0000-0100-000000000000}">
    <filterColumn colId="3">
      <filters>
        <filter val="Rizal"/>
      </filters>
    </filterColumn>
    <sortState xmlns:xlrd2="http://schemas.microsoft.com/office/spreadsheetml/2017/richdata2" ref="A3:Y18">
      <sortCondition ref="D2:D32"/>
    </sortState>
  </autoFilter>
  <mergeCells count="1">
    <mergeCell ref="A1:H1"/>
  </mergeCells>
  <phoneticPr fontId="1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R66"/>
  <sheetViews>
    <sheetView tabSelected="1" view="pageBreakPreview" zoomScale="70" zoomScaleNormal="100" zoomScaleSheetLayoutView="70" workbookViewId="0">
      <pane xSplit="8" ySplit="2" topLeftCell="O9" activePane="bottomRight" state="frozen"/>
      <selection pane="topRight" activeCell="G1" sqref="G1"/>
      <selection pane="bottomLeft" activeCell="A8" sqref="A8"/>
      <selection pane="bottomRight" activeCell="U20" sqref="U20"/>
    </sheetView>
  </sheetViews>
  <sheetFormatPr defaultColWidth="9.109375" defaultRowHeight="13.8"/>
  <cols>
    <col min="1" max="1" width="5.77734375" style="2" customWidth="1"/>
    <col min="2" max="2" width="10.77734375" style="2" customWidth="1"/>
    <col min="3" max="3" width="14.77734375" style="19" customWidth="1"/>
    <col min="4" max="4" width="13.77734375" style="19" customWidth="1"/>
    <col min="5" max="5" width="30.77734375" style="2" customWidth="1"/>
    <col min="6" max="6" width="50.77734375" style="2" customWidth="1"/>
    <col min="7" max="7" width="10.77734375" style="2" customWidth="1"/>
    <col min="8" max="11" width="14.77734375" style="2" customWidth="1"/>
    <col min="12" max="12" width="16.77734375" style="2" customWidth="1"/>
    <col min="13" max="15" width="14.77734375" style="2" customWidth="1"/>
    <col min="16" max="16" width="16.77734375" style="2" customWidth="1"/>
    <col min="17" max="19" width="14.77734375" style="2" customWidth="1"/>
    <col min="20" max="20" width="16.77734375" style="2" customWidth="1"/>
    <col min="21" max="25" width="14.77734375" style="2" customWidth="1"/>
    <col min="26" max="41" width="9.109375" style="2"/>
    <col min="42" max="44" width="0" style="2" hidden="1" customWidth="1"/>
    <col min="45" max="16384" width="9.109375" style="2"/>
  </cols>
  <sheetData>
    <row r="1" spans="1:44" ht="24.6">
      <c r="A1" s="169" t="str">
        <f>MALANG!A1</f>
        <v>REKAP PENJUALAN SALES AJM APRIL 2026</v>
      </c>
      <c r="B1" s="169"/>
      <c r="C1" s="170"/>
      <c r="D1" s="170"/>
      <c r="E1" s="169"/>
      <c r="F1" s="169"/>
      <c r="G1" s="169"/>
      <c r="H1" s="169"/>
    </row>
    <row r="2" spans="1:44" s="3" customFormat="1" ht="59.25" customHeight="1">
      <c r="A2" s="5" t="s">
        <v>19</v>
      </c>
      <c r="B2" s="5" t="s">
        <v>20</v>
      </c>
      <c r="C2" s="6" t="s">
        <v>6</v>
      </c>
      <c r="D2" s="6" t="s">
        <v>4</v>
      </c>
      <c r="E2" s="6" t="s">
        <v>5</v>
      </c>
      <c r="F2" s="5" t="s">
        <v>0</v>
      </c>
      <c r="G2" s="6" t="s">
        <v>7</v>
      </c>
      <c r="H2" s="5" t="s">
        <v>1</v>
      </c>
      <c r="I2" s="7" t="s">
        <v>8</v>
      </c>
      <c r="J2" s="7" t="s">
        <v>10</v>
      </c>
      <c r="K2" s="8" t="s">
        <v>24</v>
      </c>
      <c r="L2" s="8" t="s">
        <v>12</v>
      </c>
      <c r="M2" s="9" t="s">
        <v>2</v>
      </c>
      <c r="N2" s="9" t="s">
        <v>10</v>
      </c>
      <c r="O2" s="10" t="s">
        <v>24</v>
      </c>
      <c r="P2" s="10" t="s">
        <v>13</v>
      </c>
      <c r="Q2" s="27" t="s">
        <v>33</v>
      </c>
      <c r="R2" s="12" t="s">
        <v>10</v>
      </c>
      <c r="S2" s="11" t="s">
        <v>24</v>
      </c>
      <c r="T2" s="27" t="s">
        <v>32</v>
      </c>
      <c r="U2" s="13" t="s">
        <v>9</v>
      </c>
      <c r="V2" s="7" t="s">
        <v>15</v>
      </c>
      <c r="W2" s="8" t="s">
        <v>14</v>
      </c>
      <c r="X2" s="8" t="s">
        <v>17</v>
      </c>
      <c r="Y2" s="8" t="s">
        <v>16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s="143" customFormat="1" ht="21" hidden="1" customHeight="1">
      <c r="A3" s="139">
        <v>1</v>
      </c>
      <c r="B3" s="140">
        <v>46113</v>
      </c>
      <c r="C3" s="71" t="s">
        <v>35</v>
      </c>
      <c r="D3" s="71" t="s">
        <v>22</v>
      </c>
      <c r="E3" s="71" t="s">
        <v>52</v>
      </c>
      <c r="F3" s="71" t="s">
        <v>52</v>
      </c>
      <c r="G3" s="141">
        <v>114</v>
      </c>
      <c r="H3" s="71" t="s">
        <v>94</v>
      </c>
      <c r="I3" s="136">
        <v>780000</v>
      </c>
      <c r="J3" s="48">
        <f t="shared" ref="J3:J35" si="0">I3*11%</f>
        <v>85800</v>
      </c>
      <c r="K3" s="48">
        <f t="shared" ref="K3:K35" si="1">I3+J3</f>
        <v>865800</v>
      </c>
      <c r="L3" s="48">
        <f t="shared" ref="L3:L35" si="2">K3*G3</f>
        <v>98701200</v>
      </c>
      <c r="M3" s="136">
        <v>775000</v>
      </c>
      <c r="N3" s="48">
        <f t="shared" ref="N3:N35" si="3">M3*11%</f>
        <v>85250</v>
      </c>
      <c r="O3" s="48">
        <f t="shared" ref="O3:O35" si="4">M3+N3</f>
        <v>860250</v>
      </c>
      <c r="P3" s="48">
        <f t="shared" ref="P3:P35" si="5">O3*G3</f>
        <v>98068500</v>
      </c>
      <c r="Q3" s="142">
        <v>755000</v>
      </c>
      <c r="R3" s="48">
        <f t="shared" ref="R3:R34" si="6">Q3*11%</f>
        <v>83050</v>
      </c>
      <c r="S3" s="48">
        <f t="shared" ref="S3:S34" si="7">Q3+R3</f>
        <v>838050</v>
      </c>
      <c r="T3" s="48">
        <f t="shared" ref="T3:T34" si="8">S3*G3</f>
        <v>95537700</v>
      </c>
      <c r="U3" s="85">
        <f t="shared" ref="U3:U34" si="9">G3*(I3-M3)</f>
        <v>570000</v>
      </c>
      <c r="V3" s="85">
        <f t="shared" ref="V3:V34" si="10">M3-Q3</f>
        <v>20000</v>
      </c>
      <c r="W3" s="85">
        <f t="shared" ref="W3:W34" si="11">G3*V3</f>
        <v>2280000</v>
      </c>
      <c r="X3" s="85">
        <v>0</v>
      </c>
      <c r="Y3" s="85">
        <f t="shared" ref="Y3:Y34" si="12">X3*G3</f>
        <v>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</row>
    <row r="4" spans="1:44" s="143" customFormat="1" ht="21" hidden="1" customHeight="1">
      <c r="A4" s="46">
        <v>2</v>
      </c>
      <c r="B4" s="140">
        <v>46113</v>
      </c>
      <c r="C4" s="71" t="s">
        <v>35</v>
      </c>
      <c r="D4" s="71" t="s">
        <v>22</v>
      </c>
      <c r="E4" s="71" t="s">
        <v>53</v>
      </c>
      <c r="F4" s="71" t="s">
        <v>95</v>
      </c>
      <c r="G4" s="141">
        <v>6</v>
      </c>
      <c r="H4" s="71" t="s">
        <v>96</v>
      </c>
      <c r="I4" s="136">
        <v>780000</v>
      </c>
      <c r="J4" s="48">
        <f t="shared" si="0"/>
        <v>85800</v>
      </c>
      <c r="K4" s="48">
        <f t="shared" si="1"/>
        <v>865800</v>
      </c>
      <c r="L4" s="48">
        <f t="shared" si="2"/>
        <v>5194800</v>
      </c>
      <c r="M4" s="136">
        <v>780000</v>
      </c>
      <c r="N4" s="48">
        <f t="shared" si="3"/>
        <v>85800</v>
      </c>
      <c r="O4" s="48">
        <f t="shared" si="4"/>
        <v>865800</v>
      </c>
      <c r="P4" s="48">
        <f t="shared" si="5"/>
        <v>5194800</v>
      </c>
      <c r="Q4" s="142">
        <v>730000</v>
      </c>
      <c r="R4" s="48">
        <f t="shared" si="6"/>
        <v>80300</v>
      </c>
      <c r="S4" s="48">
        <f t="shared" si="7"/>
        <v>810300</v>
      </c>
      <c r="T4" s="48">
        <f t="shared" si="8"/>
        <v>4861800</v>
      </c>
      <c r="U4" s="85">
        <f t="shared" si="9"/>
        <v>0</v>
      </c>
      <c r="V4" s="85">
        <f t="shared" si="10"/>
        <v>50000</v>
      </c>
      <c r="W4" s="85">
        <f t="shared" si="11"/>
        <v>300000</v>
      </c>
      <c r="X4" s="85">
        <v>5000</v>
      </c>
      <c r="Y4" s="85">
        <f t="shared" si="12"/>
        <v>30000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spans="1:44" s="143" customFormat="1" ht="21" hidden="1" customHeight="1">
      <c r="A5" s="139">
        <v>3</v>
      </c>
      <c r="B5" s="140">
        <v>46114</v>
      </c>
      <c r="C5" s="71" t="s">
        <v>35</v>
      </c>
      <c r="D5" s="71" t="s">
        <v>22</v>
      </c>
      <c r="E5" s="71" t="s">
        <v>53</v>
      </c>
      <c r="F5" s="71" t="s">
        <v>95</v>
      </c>
      <c r="G5" s="141">
        <v>6</v>
      </c>
      <c r="H5" s="71" t="s">
        <v>96</v>
      </c>
      <c r="I5" s="136">
        <v>780000</v>
      </c>
      <c r="J5" s="48">
        <f t="shared" ref="J5:J6" si="13">I5*11%</f>
        <v>85800</v>
      </c>
      <c r="K5" s="48">
        <f t="shared" ref="K5:K6" si="14">I5+J5</f>
        <v>865800</v>
      </c>
      <c r="L5" s="48">
        <f t="shared" ref="L5:L6" si="15">K5*G5</f>
        <v>5194800</v>
      </c>
      <c r="M5" s="136">
        <v>780000</v>
      </c>
      <c r="N5" s="48">
        <f t="shared" ref="N5:N6" si="16">M5*11%</f>
        <v>85800</v>
      </c>
      <c r="O5" s="48">
        <f t="shared" ref="O5:O6" si="17">M5+N5</f>
        <v>865800</v>
      </c>
      <c r="P5" s="48">
        <f t="shared" ref="P5:P6" si="18">O5*G5</f>
        <v>5194800</v>
      </c>
      <c r="Q5" s="142">
        <v>730000</v>
      </c>
      <c r="R5" s="48">
        <f t="shared" si="6"/>
        <v>80300</v>
      </c>
      <c r="S5" s="48">
        <f t="shared" si="7"/>
        <v>810300</v>
      </c>
      <c r="T5" s="48">
        <f t="shared" si="8"/>
        <v>4861800</v>
      </c>
      <c r="U5" s="85">
        <f t="shared" si="9"/>
        <v>0</v>
      </c>
      <c r="V5" s="85">
        <f t="shared" si="10"/>
        <v>50000</v>
      </c>
      <c r="W5" s="85">
        <f t="shared" si="11"/>
        <v>300000</v>
      </c>
      <c r="X5" s="85">
        <v>5000</v>
      </c>
      <c r="Y5" s="85">
        <f t="shared" si="12"/>
        <v>30000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spans="1:44" s="143" customFormat="1" ht="21" hidden="1" customHeight="1">
      <c r="A6" s="46">
        <v>4</v>
      </c>
      <c r="B6" s="140">
        <v>46114</v>
      </c>
      <c r="C6" s="71" t="s">
        <v>35</v>
      </c>
      <c r="D6" s="71" t="s">
        <v>22</v>
      </c>
      <c r="E6" s="71" t="s">
        <v>52</v>
      </c>
      <c r="F6" s="71" t="s">
        <v>52</v>
      </c>
      <c r="G6" s="141">
        <v>138</v>
      </c>
      <c r="H6" s="71" t="s">
        <v>94</v>
      </c>
      <c r="I6" s="136">
        <v>780000</v>
      </c>
      <c r="J6" s="48">
        <f t="shared" si="13"/>
        <v>85800</v>
      </c>
      <c r="K6" s="48">
        <f t="shared" si="14"/>
        <v>865800</v>
      </c>
      <c r="L6" s="48">
        <f t="shared" si="15"/>
        <v>119480400</v>
      </c>
      <c r="M6" s="136">
        <v>775000</v>
      </c>
      <c r="N6" s="48">
        <f t="shared" si="16"/>
        <v>85250</v>
      </c>
      <c r="O6" s="48">
        <f t="shared" si="17"/>
        <v>860250</v>
      </c>
      <c r="P6" s="48">
        <f t="shared" si="18"/>
        <v>118714500</v>
      </c>
      <c r="Q6" s="142">
        <v>755000</v>
      </c>
      <c r="R6" s="48">
        <f t="shared" si="6"/>
        <v>83050</v>
      </c>
      <c r="S6" s="48">
        <f t="shared" si="7"/>
        <v>838050</v>
      </c>
      <c r="T6" s="48">
        <f t="shared" si="8"/>
        <v>115650900</v>
      </c>
      <c r="U6" s="85">
        <f t="shared" si="9"/>
        <v>690000</v>
      </c>
      <c r="V6" s="85">
        <f t="shared" si="10"/>
        <v>20000</v>
      </c>
      <c r="W6" s="85">
        <f t="shared" si="11"/>
        <v>2760000</v>
      </c>
      <c r="X6" s="85">
        <v>0</v>
      </c>
      <c r="Y6" s="85">
        <f t="shared" si="12"/>
        <v>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4" s="143" customFormat="1" ht="21" hidden="1" customHeight="1">
      <c r="A7" s="139">
        <v>5</v>
      </c>
      <c r="B7" s="140">
        <v>46116</v>
      </c>
      <c r="C7" s="71" t="s">
        <v>35</v>
      </c>
      <c r="D7" s="71" t="s">
        <v>22</v>
      </c>
      <c r="E7" s="71" t="s">
        <v>52</v>
      </c>
      <c r="F7" s="71" t="s">
        <v>52</v>
      </c>
      <c r="G7" s="141">
        <v>106</v>
      </c>
      <c r="H7" s="71" t="s">
        <v>94</v>
      </c>
      <c r="I7" s="136">
        <v>780000</v>
      </c>
      <c r="J7" s="48">
        <f t="shared" ref="J7:J8" si="19">I7*11%</f>
        <v>85800</v>
      </c>
      <c r="K7" s="48">
        <f t="shared" ref="K7:K8" si="20">I7+J7</f>
        <v>865800</v>
      </c>
      <c r="L7" s="48">
        <f t="shared" ref="L7:L8" si="21">K7*G7</f>
        <v>91774800</v>
      </c>
      <c r="M7" s="136">
        <v>775000</v>
      </c>
      <c r="N7" s="48">
        <f t="shared" ref="N7:N8" si="22">M7*11%</f>
        <v>85250</v>
      </c>
      <c r="O7" s="48">
        <f t="shared" ref="O7:O8" si="23">M7+N7</f>
        <v>860250</v>
      </c>
      <c r="P7" s="48">
        <f t="shared" ref="P7:P8" si="24">O7*G7</f>
        <v>91186500</v>
      </c>
      <c r="Q7" s="142">
        <v>755000</v>
      </c>
      <c r="R7" s="48">
        <f t="shared" si="6"/>
        <v>83050</v>
      </c>
      <c r="S7" s="48">
        <f t="shared" si="7"/>
        <v>838050</v>
      </c>
      <c r="T7" s="48">
        <f t="shared" si="8"/>
        <v>88833300</v>
      </c>
      <c r="U7" s="85">
        <f t="shared" si="9"/>
        <v>530000</v>
      </c>
      <c r="V7" s="85">
        <f t="shared" si="10"/>
        <v>20000</v>
      </c>
      <c r="W7" s="85">
        <f t="shared" si="11"/>
        <v>2120000</v>
      </c>
      <c r="X7" s="85">
        <v>0</v>
      </c>
      <c r="Y7" s="85">
        <f t="shared" si="12"/>
        <v>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</row>
    <row r="8" spans="1:44" s="20" customFormat="1" ht="21" hidden="1" customHeight="1">
      <c r="A8" s="46">
        <v>6</v>
      </c>
      <c r="B8" s="140">
        <v>46116</v>
      </c>
      <c r="C8" s="71" t="s">
        <v>35</v>
      </c>
      <c r="D8" s="71" t="s">
        <v>22</v>
      </c>
      <c r="E8" s="71" t="s">
        <v>53</v>
      </c>
      <c r="F8" s="71" t="s">
        <v>95</v>
      </c>
      <c r="G8" s="141">
        <v>6</v>
      </c>
      <c r="H8" s="71" t="s">
        <v>96</v>
      </c>
      <c r="I8" s="136">
        <v>780000</v>
      </c>
      <c r="J8" s="48">
        <f t="shared" si="19"/>
        <v>85800</v>
      </c>
      <c r="K8" s="48">
        <f t="shared" si="20"/>
        <v>865800</v>
      </c>
      <c r="L8" s="48">
        <f t="shared" si="21"/>
        <v>5194800</v>
      </c>
      <c r="M8" s="136">
        <v>780000</v>
      </c>
      <c r="N8" s="48">
        <f t="shared" si="22"/>
        <v>85800</v>
      </c>
      <c r="O8" s="48">
        <f t="shared" si="23"/>
        <v>865800</v>
      </c>
      <c r="P8" s="48">
        <f t="shared" si="24"/>
        <v>5194800</v>
      </c>
      <c r="Q8" s="142">
        <v>730000</v>
      </c>
      <c r="R8" s="48">
        <f t="shared" si="6"/>
        <v>80300</v>
      </c>
      <c r="S8" s="48">
        <f t="shared" si="7"/>
        <v>810300</v>
      </c>
      <c r="T8" s="48">
        <f t="shared" si="8"/>
        <v>4861800</v>
      </c>
      <c r="U8" s="85">
        <f t="shared" si="9"/>
        <v>0</v>
      </c>
      <c r="V8" s="85">
        <f t="shared" si="10"/>
        <v>50000</v>
      </c>
      <c r="W8" s="85">
        <f t="shared" si="11"/>
        <v>300000</v>
      </c>
      <c r="X8" s="85">
        <v>5000</v>
      </c>
      <c r="Y8" s="85">
        <f t="shared" si="12"/>
        <v>30000</v>
      </c>
    </row>
    <row r="9" spans="1:44" s="143" customFormat="1" ht="21" customHeight="1">
      <c r="A9" s="139">
        <v>7</v>
      </c>
      <c r="B9" s="140">
        <v>46116</v>
      </c>
      <c r="C9" s="71" t="s">
        <v>35</v>
      </c>
      <c r="D9" s="71" t="s">
        <v>39</v>
      </c>
      <c r="E9" s="71" t="s">
        <v>97</v>
      </c>
      <c r="F9" s="71" t="s">
        <v>98</v>
      </c>
      <c r="G9" s="136">
        <v>30</v>
      </c>
      <c r="H9" s="71" t="s">
        <v>91</v>
      </c>
      <c r="I9" s="136">
        <v>790000</v>
      </c>
      <c r="J9" s="48">
        <f t="shared" si="0"/>
        <v>86900</v>
      </c>
      <c r="K9" s="48">
        <f t="shared" si="1"/>
        <v>876900</v>
      </c>
      <c r="L9" s="48">
        <f t="shared" si="2"/>
        <v>26307000</v>
      </c>
      <c r="M9" s="136">
        <v>790000</v>
      </c>
      <c r="N9" s="48">
        <f t="shared" si="3"/>
        <v>86900</v>
      </c>
      <c r="O9" s="48">
        <f t="shared" si="4"/>
        <v>876900</v>
      </c>
      <c r="P9" s="48">
        <f t="shared" si="5"/>
        <v>26307000</v>
      </c>
      <c r="Q9" s="142">
        <v>770000</v>
      </c>
      <c r="R9" s="48">
        <f t="shared" si="6"/>
        <v>84700</v>
      </c>
      <c r="S9" s="48">
        <f t="shared" si="7"/>
        <v>854700</v>
      </c>
      <c r="T9" s="48">
        <f t="shared" si="8"/>
        <v>25641000</v>
      </c>
      <c r="U9" s="85">
        <f t="shared" si="9"/>
        <v>0</v>
      </c>
      <c r="V9" s="85">
        <f t="shared" si="10"/>
        <v>20000</v>
      </c>
      <c r="W9" s="85">
        <f t="shared" si="11"/>
        <v>600000</v>
      </c>
      <c r="X9" s="85">
        <v>0</v>
      </c>
      <c r="Y9" s="85">
        <f t="shared" si="12"/>
        <v>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44" s="20" customFormat="1" ht="21" hidden="1" customHeight="1">
      <c r="A10" s="46">
        <v>8</v>
      </c>
      <c r="B10" s="140">
        <v>46118</v>
      </c>
      <c r="C10" s="71" t="s">
        <v>35</v>
      </c>
      <c r="D10" s="71" t="s">
        <v>22</v>
      </c>
      <c r="E10" s="71" t="s">
        <v>53</v>
      </c>
      <c r="F10" s="71" t="s">
        <v>95</v>
      </c>
      <c r="G10" s="141">
        <v>6</v>
      </c>
      <c r="H10" s="71" t="s">
        <v>96</v>
      </c>
      <c r="I10" s="136">
        <v>780000</v>
      </c>
      <c r="J10" s="48">
        <f t="shared" si="0"/>
        <v>85800</v>
      </c>
      <c r="K10" s="48">
        <f t="shared" si="1"/>
        <v>865800</v>
      </c>
      <c r="L10" s="48">
        <f t="shared" si="2"/>
        <v>5194800</v>
      </c>
      <c r="M10" s="136">
        <v>780000</v>
      </c>
      <c r="N10" s="48">
        <f t="shared" si="3"/>
        <v>85800</v>
      </c>
      <c r="O10" s="48">
        <f t="shared" si="4"/>
        <v>865800</v>
      </c>
      <c r="P10" s="48">
        <f t="shared" si="5"/>
        <v>5194800</v>
      </c>
      <c r="Q10" s="142">
        <v>730000</v>
      </c>
      <c r="R10" s="48">
        <f t="shared" si="6"/>
        <v>80300</v>
      </c>
      <c r="S10" s="48">
        <f t="shared" si="7"/>
        <v>810300</v>
      </c>
      <c r="T10" s="48">
        <f t="shared" si="8"/>
        <v>4861800</v>
      </c>
      <c r="U10" s="85">
        <f t="shared" si="9"/>
        <v>0</v>
      </c>
      <c r="V10" s="85">
        <f t="shared" si="10"/>
        <v>50000</v>
      </c>
      <c r="W10" s="85">
        <f t="shared" si="11"/>
        <v>300000</v>
      </c>
      <c r="X10" s="85">
        <v>5000</v>
      </c>
      <c r="Y10" s="85">
        <f t="shared" si="12"/>
        <v>30000</v>
      </c>
    </row>
    <row r="11" spans="1:44" s="143" customFormat="1" ht="21" hidden="1" customHeight="1">
      <c r="A11" s="139">
        <v>9</v>
      </c>
      <c r="B11" s="140">
        <v>46118</v>
      </c>
      <c r="C11" s="71" t="s">
        <v>35</v>
      </c>
      <c r="D11" s="71" t="s">
        <v>22</v>
      </c>
      <c r="E11" s="71" t="s">
        <v>53</v>
      </c>
      <c r="F11" s="71" t="s">
        <v>95</v>
      </c>
      <c r="G11" s="141">
        <v>18</v>
      </c>
      <c r="H11" s="71" t="s">
        <v>25</v>
      </c>
      <c r="I11" s="136">
        <v>760000</v>
      </c>
      <c r="J11" s="48">
        <f t="shared" si="0"/>
        <v>83600</v>
      </c>
      <c r="K11" s="48">
        <f t="shared" si="1"/>
        <v>843600</v>
      </c>
      <c r="L11" s="48">
        <f t="shared" si="2"/>
        <v>15184800</v>
      </c>
      <c r="M11" s="136">
        <v>760000</v>
      </c>
      <c r="N11" s="48">
        <f t="shared" si="3"/>
        <v>83600</v>
      </c>
      <c r="O11" s="48">
        <f t="shared" si="4"/>
        <v>843600</v>
      </c>
      <c r="P11" s="48">
        <f t="shared" si="5"/>
        <v>15184800</v>
      </c>
      <c r="Q11" s="142">
        <v>710000</v>
      </c>
      <c r="R11" s="48">
        <f t="shared" si="6"/>
        <v>78100</v>
      </c>
      <c r="S11" s="48">
        <f t="shared" si="7"/>
        <v>788100</v>
      </c>
      <c r="T11" s="48">
        <f t="shared" si="8"/>
        <v>14185800</v>
      </c>
      <c r="U11" s="85">
        <v>0</v>
      </c>
      <c r="V11" s="85">
        <f t="shared" si="10"/>
        <v>50000</v>
      </c>
      <c r="W11" s="85">
        <f t="shared" si="11"/>
        <v>900000</v>
      </c>
      <c r="X11" s="85">
        <v>5000</v>
      </c>
      <c r="Y11" s="85">
        <f t="shared" si="12"/>
        <v>90000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</row>
    <row r="12" spans="1:44" s="20" customFormat="1" ht="21" hidden="1" customHeight="1">
      <c r="A12" s="46">
        <v>10</v>
      </c>
      <c r="B12" s="140">
        <v>46119</v>
      </c>
      <c r="C12" s="71" t="s">
        <v>35</v>
      </c>
      <c r="D12" s="71" t="s">
        <v>22</v>
      </c>
      <c r="E12" s="71" t="s">
        <v>53</v>
      </c>
      <c r="F12" s="71" t="s">
        <v>95</v>
      </c>
      <c r="G12" s="141">
        <v>6</v>
      </c>
      <c r="H12" s="71" t="s">
        <v>96</v>
      </c>
      <c r="I12" s="136">
        <v>780000</v>
      </c>
      <c r="J12" s="48">
        <f t="shared" ref="J12" si="25">I12*11%</f>
        <v>85800</v>
      </c>
      <c r="K12" s="48">
        <f t="shared" ref="K12" si="26">I12+J12</f>
        <v>865800</v>
      </c>
      <c r="L12" s="48">
        <f t="shared" ref="L12" si="27">K12*G12</f>
        <v>5194800</v>
      </c>
      <c r="M12" s="136">
        <v>780000</v>
      </c>
      <c r="N12" s="48">
        <f t="shared" ref="N12" si="28">M12*11%</f>
        <v>85800</v>
      </c>
      <c r="O12" s="48">
        <f t="shared" ref="O12" si="29">M12+N12</f>
        <v>865800</v>
      </c>
      <c r="P12" s="48">
        <f t="shared" ref="P12" si="30">O12*G12</f>
        <v>5194800</v>
      </c>
      <c r="Q12" s="142">
        <v>730000</v>
      </c>
      <c r="R12" s="48">
        <f t="shared" si="6"/>
        <v>80300</v>
      </c>
      <c r="S12" s="48">
        <f t="shared" si="7"/>
        <v>810300</v>
      </c>
      <c r="T12" s="48">
        <f t="shared" si="8"/>
        <v>4861800</v>
      </c>
      <c r="U12" s="85">
        <f t="shared" si="9"/>
        <v>0</v>
      </c>
      <c r="V12" s="85">
        <f t="shared" si="10"/>
        <v>50000</v>
      </c>
      <c r="W12" s="85">
        <f t="shared" si="11"/>
        <v>300000</v>
      </c>
      <c r="X12" s="85">
        <v>5000</v>
      </c>
      <c r="Y12" s="85">
        <f t="shared" si="12"/>
        <v>30000</v>
      </c>
    </row>
    <row r="13" spans="1:44" s="20" customFormat="1" ht="21" hidden="1" customHeight="1">
      <c r="A13" s="139">
        <v>11</v>
      </c>
      <c r="B13" s="140">
        <v>46120</v>
      </c>
      <c r="C13" s="71" t="s">
        <v>35</v>
      </c>
      <c r="D13" s="71" t="s">
        <v>22</v>
      </c>
      <c r="E13" s="71" t="s">
        <v>53</v>
      </c>
      <c r="F13" s="71" t="s">
        <v>95</v>
      </c>
      <c r="G13" s="141">
        <v>6</v>
      </c>
      <c r="H13" s="71" t="s">
        <v>96</v>
      </c>
      <c r="I13" s="136">
        <v>780000</v>
      </c>
      <c r="J13" s="48">
        <f t="shared" ref="J13" si="31">I13*11%</f>
        <v>85800</v>
      </c>
      <c r="K13" s="48">
        <f t="shared" ref="K13" si="32">I13+J13</f>
        <v>865800</v>
      </c>
      <c r="L13" s="48">
        <f t="shared" ref="L13" si="33">K13*G13</f>
        <v>5194800</v>
      </c>
      <c r="M13" s="136">
        <v>780000</v>
      </c>
      <c r="N13" s="48">
        <f t="shared" ref="N13" si="34">M13*11%</f>
        <v>85800</v>
      </c>
      <c r="O13" s="48">
        <f t="shared" ref="O13" si="35">M13+N13</f>
        <v>865800</v>
      </c>
      <c r="P13" s="48">
        <f t="shared" ref="P13" si="36">O13*G13</f>
        <v>5194800</v>
      </c>
      <c r="Q13" s="142">
        <v>730000</v>
      </c>
      <c r="R13" s="48">
        <f t="shared" si="6"/>
        <v>80300</v>
      </c>
      <c r="S13" s="48">
        <f t="shared" si="7"/>
        <v>810300</v>
      </c>
      <c r="T13" s="48">
        <f t="shared" si="8"/>
        <v>4861800</v>
      </c>
      <c r="U13" s="85">
        <v>0</v>
      </c>
      <c r="V13" s="85">
        <f t="shared" si="10"/>
        <v>50000</v>
      </c>
      <c r="W13" s="85">
        <f t="shared" si="11"/>
        <v>300000</v>
      </c>
      <c r="X13" s="85">
        <v>5000</v>
      </c>
      <c r="Y13" s="85">
        <f t="shared" si="12"/>
        <v>30000</v>
      </c>
    </row>
    <row r="14" spans="1:44" s="20" customFormat="1" ht="21" hidden="1" customHeight="1">
      <c r="A14" s="46">
        <v>12</v>
      </c>
      <c r="B14" s="140">
        <v>46121</v>
      </c>
      <c r="C14" s="71" t="s">
        <v>35</v>
      </c>
      <c r="D14" s="71" t="s">
        <v>22</v>
      </c>
      <c r="E14" s="71" t="s">
        <v>99</v>
      </c>
      <c r="F14" s="71" t="s">
        <v>100</v>
      </c>
      <c r="G14" s="136">
        <v>65</v>
      </c>
      <c r="H14" s="71" t="s">
        <v>25</v>
      </c>
      <c r="I14" s="136">
        <v>770000</v>
      </c>
      <c r="J14" s="48">
        <f t="shared" si="0"/>
        <v>84700</v>
      </c>
      <c r="K14" s="48">
        <f t="shared" si="1"/>
        <v>854700</v>
      </c>
      <c r="L14" s="48">
        <f t="shared" si="2"/>
        <v>55555500</v>
      </c>
      <c r="M14" s="136">
        <v>770000</v>
      </c>
      <c r="N14" s="48">
        <f t="shared" si="3"/>
        <v>84700</v>
      </c>
      <c r="O14" s="48">
        <f t="shared" si="4"/>
        <v>854700</v>
      </c>
      <c r="P14" s="48">
        <f t="shared" si="5"/>
        <v>55555500</v>
      </c>
      <c r="Q14" s="142">
        <v>720000</v>
      </c>
      <c r="R14" s="48">
        <f t="shared" si="6"/>
        <v>79200</v>
      </c>
      <c r="S14" s="48">
        <f t="shared" si="7"/>
        <v>799200</v>
      </c>
      <c r="T14" s="48">
        <f t="shared" si="8"/>
        <v>51948000</v>
      </c>
      <c r="U14" s="85">
        <f t="shared" si="9"/>
        <v>0</v>
      </c>
      <c r="V14" s="85">
        <f t="shared" si="10"/>
        <v>50000</v>
      </c>
      <c r="W14" s="85">
        <f t="shared" si="11"/>
        <v>3250000</v>
      </c>
      <c r="X14" s="85">
        <v>5000</v>
      </c>
      <c r="Y14" s="85">
        <f t="shared" si="12"/>
        <v>325000</v>
      </c>
    </row>
    <row r="15" spans="1:44" s="20" customFormat="1" ht="21" customHeight="1">
      <c r="A15" s="139">
        <v>13</v>
      </c>
      <c r="B15" s="140">
        <v>46122</v>
      </c>
      <c r="C15" s="71" t="s">
        <v>35</v>
      </c>
      <c r="D15" s="71" t="s">
        <v>39</v>
      </c>
      <c r="E15" s="71" t="s">
        <v>101</v>
      </c>
      <c r="F15" s="71" t="s">
        <v>51</v>
      </c>
      <c r="G15" s="136">
        <v>6</v>
      </c>
      <c r="H15" s="71" t="s">
        <v>102</v>
      </c>
      <c r="I15" s="136">
        <v>790000</v>
      </c>
      <c r="J15" s="48">
        <f t="shared" si="0"/>
        <v>86900</v>
      </c>
      <c r="K15" s="48">
        <f t="shared" si="1"/>
        <v>876900</v>
      </c>
      <c r="L15" s="48">
        <f t="shared" si="2"/>
        <v>5261400</v>
      </c>
      <c r="M15" s="136">
        <v>790000</v>
      </c>
      <c r="N15" s="48">
        <f t="shared" si="3"/>
        <v>86900</v>
      </c>
      <c r="O15" s="48">
        <f t="shared" si="4"/>
        <v>876900</v>
      </c>
      <c r="P15" s="48">
        <f t="shared" si="5"/>
        <v>5261400</v>
      </c>
      <c r="Q15" s="142">
        <v>740000</v>
      </c>
      <c r="R15" s="48">
        <f t="shared" si="6"/>
        <v>81400</v>
      </c>
      <c r="S15" s="48">
        <f t="shared" si="7"/>
        <v>821400</v>
      </c>
      <c r="T15" s="48">
        <f t="shared" si="8"/>
        <v>4928400</v>
      </c>
      <c r="U15" s="85">
        <v>0</v>
      </c>
      <c r="V15" s="85">
        <f>M15-Q15</f>
        <v>50000</v>
      </c>
      <c r="W15" s="85">
        <f t="shared" si="11"/>
        <v>300000</v>
      </c>
      <c r="X15" s="85">
        <v>15000</v>
      </c>
      <c r="Y15" s="85">
        <f>X15*G15</f>
        <v>90000</v>
      </c>
    </row>
    <row r="16" spans="1:44" s="20" customFormat="1" ht="21" hidden="1" customHeight="1">
      <c r="A16" s="46">
        <v>14</v>
      </c>
      <c r="B16" s="140">
        <v>46122</v>
      </c>
      <c r="C16" s="71" t="s">
        <v>35</v>
      </c>
      <c r="D16" s="71" t="s">
        <v>22</v>
      </c>
      <c r="E16" s="71" t="s">
        <v>52</v>
      </c>
      <c r="F16" s="71" t="s">
        <v>52</v>
      </c>
      <c r="G16" s="141">
        <v>60</v>
      </c>
      <c r="H16" s="71" t="s">
        <v>94</v>
      </c>
      <c r="I16" s="136">
        <v>780000</v>
      </c>
      <c r="J16" s="48">
        <f t="shared" si="0"/>
        <v>85800</v>
      </c>
      <c r="K16" s="48">
        <f t="shared" si="1"/>
        <v>865800</v>
      </c>
      <c r="L16" s="48">
        <f t="shared" si="2"/>
        <v>51948000</v>
      </c>
      <c r="M16" s="136">
        <v>775000</v>
      </c>
      <c r="N16" s="48">
        <f t="shared" si="3"/>
        <v>85250</v>
      </c>
      <c r="O16" s="48">
        <f t="shared" si="4"/>
        <v>860250</v>
      </c>
      <c r="P16" s="48">
        <f t="shared" si="5"/>
        <v>51615000</v>
      </c>
      <c r="Q16" s="142">
        <v>755000</v>
      </c>
      <c r="R16" s="48">
        <f t="shared" si="6"/>
        <v>83050</v>
      </c>
      <c r="S16" s="48">
        <f t="shared" si="7"/>
        <v>838050</v>
      </c>
      <c r="T16" s="48">
        <f t="shared" si="8"/>
        <v>50283000</v>
      </c>
      <c r="U16" s="85">
        <v>0</v>
      </c>
      <c r="V16" s="85">
        <f t="shared" si="10"/>
        <v>20000</v>
      </c>
      <c r="W16" s="85">
        <f t="shared" si="11"/>
        <v>1200000</v>
      </c>
      <c r="X16" s="85">
        <v>0</v>
      </c>
      <c r="Y16" s="85">
        <f t="shared" si="12"/>
        <v>0</v>
      </c>
    </row>
    <row r="17" spans="1:44" s="20" customFormat="1" ht="21" hidden="1" customHeight="1">
      <c r="A17" s="139">
        <v>15</v>
      </c>
      <c r="B17" s="140">
        <v>46122</v>
      </c>
      <c r="C17" s="71" t="s">
        <v>35</v>
      </c>
      <c r="D17" s="71" t="s">
        <v>22</v>
      </c>
      <c r="E17" s="71" t="s">
        <v>53</v>
      </c>
      <c r="F17" s="71" t="s">
        <v>95</v>
      </c>
      <c r="G17" s="141">
        <v>6</v>
      </c>
      <c r="H17" s="71" t="s">
        <v>96</v>
      </c>
      <c r="I17" s="136">
        <v>820000</v>
      </c>
      <c r="J17" s="48">
        <f t="shared" si="0"/>
        <v>90200</v>
      </c>
      <c r="K17" s="48">
        <f t="shared" si="1"/>
        <v>910200</v>
      </c>
      <c r="L17" s="48">
        <f t="shared" si="2"/>
        <v>5461200</v>
      </c>
      <c r="M17" s="136">
        <v>820000</v>
      </c>
      <c r="N17" s="48">
        <f t="shared" si="3"/>
        <v>90200</v>
      </c>
      <c r="O17" s="48">
        <f t="shared" si="4"/>
        <v>910200</v>
      </c>
      <c r="P17" s="48">
        <f t="shared" si="5"/>
        <v>5461200</v>
      </c>
      <c r="Q17" s="142">
        <v>784000</v>
      </c>
      <c r="R17" s="48">
        <f t="shared" si="6"/>
        <v>86240</v>
      </c>
      <c r="S17" s="48">
        <f t="shared" si="7"/>
        <v>870240</v>
      </c>
      <c r="T17" s="48">
        <f t="shared" si="8"/>
        <v>5221440</v>
      </c>
      <c r="U17" s="85">
        <v>0</v>
      </c>
      <c r="V17" s="85">
        <f t="shared" si="10"/>
        <v>36000</v>
      </c>
      <c r="W17" s="85">
        <f t="shared" si="11"/>
        <v>216000</v>
      </c>
      <c r="X17" s="85">
        <v>0</v>
      </c>
      <c r="Y17" s="85">
        <f t="shared" si="12"/>
        <v>0</v>
      </c>
    </row>
    <row r="18" spans="1:44" s="20" customFormat="1" ht="21" hidden="1" customHeight="1">
      <c r="A18" s="46">
        <v>16</v>
      </c>
      <c r="B18" s="140">
        <v>46123</v>
      </c>
      <c r="C18" s="71" t="s">
        <v>35</v>
      </c>
      <c r="D18" s="71" t="s">
        <v>22</v>
      </c>
      <c r="E18" s="71" t="s">
        <v>52</v>
      </c>
      <c r="F18" s="71" t="s">
        <v>52</v>
      </c>
      <c r="G18" s="141">
        <v>48</v>
      </c>
      <c r="H18" s="71" t="s">
        <v>94</v>
      </c>
      <c r="I18" s="136">
        <v>780000</v>
      </c>
      <c r="J18" s="48">
        <f t="shared" ref="J18:J20" si="37">I18*11%</f>
        <v>85800</v>
      </c>
      <c r="K18" s="48">
        <f t="shared" ref="K18:K20" si="38">I18+J18</f>
        <v>865800</v>
      </c>
      <c r="L18" s="48">
        <f t="shared" ref="L18:L20" si="39">K18*G18</f>
        <v>41558400</v>
      </c>
      <c r="M18" s="136">
        <v>775000</v>
      </c>
      <c r="N18" s="48">
        <f t="shared" ref="N18:N20" si="40">M18*11%</f>
        <v>85250</v>
      </c>
      <c r="O18" s="48">
        <f t="shared" ref="O18:O20" si="41">M18+N18</f>
        <v>860250</v>
      </c>
      <c r="P18" s="48">
        <f t="shared" ref="P18:P20" si="42">O18*G18</f>
        <v>41292000</v>
      </c>
      <c r="Q18" s="142">
        <v>755000</v>
      </c>
      <c r="R18" s="48">
        <f t="shared" si="6"/>
        <v>83050</v>
      </c>
      <c r="S18" s="48">
        <f t="shared" si="7"/>
        <v>838050</v>
      </c>
      <c r="T18" s="48">
        <f t="shared" si="8"/>
        <v>40226400</v>
      </c>
      <c r="U18" s="85">
        <f t="shared" si="9"/>
        <v>240000</v>
      </c>
      <c r="V18" s="85">
        <f t="shared" si="10"/>
        <v>20000</v>
      </c>
      <c r="W18" s="85">
        <f t="shared" si="11"/>
        <v>960000</v>
      </c>
      <c r="X18" s="85">
        <v>0</v>
      </c>
      <c r="Y18" s="85">
        <f t="shared" si="12"/>
        <v>0</v>
      </c>
    </row>
    <row r="19" spans="1:44" s="20" customFormat="1" ht="21" hidden="1" customHeight="1">
      <c r="A19" s="139">
        <v>17</v>
      </c>
      <c r="B19" s="140">
        <v>46123</v>
      </c>
      <c r="C19" s="71" t="s">
        <v>35</v>
      </c>
      <c r="D19" s="71" t="s">
        <v>22</v>
      </c>
      <c r="E19" s="71" t="s">
        <v>53</v>
      </c>
      <c r="F19" s="71" t="s">
        <v>95</v>
      </c>
      <c r="G19" s="141">
        <v>6</v>
      </c>
      <c r="H19" s="71" t="s">
        <v>96</v>
      </c>
      <c r="I19" s="136">
        <v>820000</v>
      </c>
      <c r="J19" s="48">
        <f t="shared" si="37"/>
        <v>90200</v>
      </c>
      <c r="K19" s="48">
        <f t="shared" si="38"/>
        <v>910200</v>
      </c>
      <c r="L19" s="48">
        <f t="shared" si="39"/>
        <v>5461200</v>
      </c>
      <c r="M19" s="136">
        <v>820000</v>
      </c>
      <c r="N19" s="48">
        <f t="shared" si="40"/>
        <v>90200</v>
      </c>
      <c r="O19" s="48">
        <f t="shared" si="41"/>
        <v>910200</v>
      </c>
      <c r="P19" s="48">
        <f t="shared" si="42"/>
        <v>5461200</v>
      </c>
      <c r="Q19" s="142">
        <v>784000</v>
      </c>
      <c r="R19" s="48">
        <f t="shared" si="6"/>
        <v>86240</v>
      </c>
      <c r="S19" s="48">
        <f t="shared" si="7"/>
        <v>870240</v>
      </c>
      <c r="T19" s="48">
        <f t="shared" si="8"/>
        <v>5221440</v>
      </c>
      <c r="U19" s="85">
        <f t="shared" si="9"/>
        <v>0</v>
      </c>
      <c r="V19" s="85">
        <f t="shared" si="10"/>
        <v>36000</v>
      </c>
      <c r="W19" s="85">
        <f t="shared" si="11"/>
        <v>216000</v>
      </c>
      <c r="X19" s="85">
        <v>0</v>
      </c>
      <c r="Y19" s="85">
        <f t="shared" si="12"/>
        <v>0</v>
      </c>
    </row>
    <row r="20" spans="1:44" s="20" customFormat="1" ht="21" customHeight="1">
      <c r="A20" s="46">
        <v>18</v>
      </c>
      <c r="B20" s="140">
        <v>46124</v>
      </c>
      <c r="C20" s="71" t="s">
        <v>35</v>
      </c>
      <c r="D20" s="71" t="s">
        <v>39</v>
      </c>
      <c r="E20" s="71" t="s">
        <v>101</v>
      </c>
      <c r="F20" s="71" t="s">
        <v>51</v>
      </c>
      <c r="G20" s="136">
        <v>6</v>
      </c>
      <c r="H20" s="71" t="s">
        <v>102</v>
      </c>
      <c r="I20" s="136">
        <v>790000</v>
      </c>
      <c r="J20" s="48">
        <f t="shared" si="37"/>
        <v>86900</v>
      </c>
      <c r="K20" s="48">
        <f t="shared" si="38"/>
        <v>876900</v>
      </c>
      <c r="L20" s="48">
        <f t="shared" si="39"/>
        <v>5261400</v>
      </c>
      <c r="M20" s="136">
        <v>790000</v>
      </c>
      <c r="N20" s="48">
        <f t="shared" si="40"/>
        <v>86900</v>
      </c>
      <c r="O20" s="48">
        <f t="shared" si="41"/>
        <v>876900</v>
      </c>
      <c r="P20" s="48">
        <f t="shared" si="42"/>
        <v>5261400</v>
      </c>
      <c r="Q20" s="142">
        <v>740000</v>
      </c>
      <c r="R20" s="48">
        <f t="shared" si="6"/>
        <v>81400</v>
      </c>
      <c r="S20" s="48">
        <f t="shared" si="7"/>
        <v>821400</v>
      </c>
      <c r="T20" s="48">
        <f t="shared" si="8"/>
        <v>4928400</v>
      </c>
      <c r="U20" s="85">
        <f t="shared" si="9"/>
        <v>0</v>
      </c>
      <c r="V20" s="85">
        <f t="shared" si="10"/>
        <v>50000</v>
      </c>
      <c r="W20" s="85">
        <f t="shared" si="11"/>
        <v>300000</v>
      </c>
      <c r="X20" s="85">
        <v>15000</v>
      </c>
      <c r="Y20" s="85">
        <f t="shared" si="12"/>
        <v>90000</v>
      </c>
    </row>
    <row r="21" spans="1:44" s="143" customFormat="1" ht="21" hidden="1" customHeight="1">
      <c r="A21" s="139">
        <v>19</v>
      </c>
      <c r="B21" s="140">
        <v>46124</v>
      </c>
      <c r="C21" s="71" t="s">
        <v>35</v>
      </c>
      <c r="D21" s="71" t="s">
        <v>22</v>
      </c>
      <c r="E21" s="71" t="s">
        <v>52</v>
      </c>
      <c r="F21" s="71" t="s">
        <v>52</v>
      </c>
      <c r="G21" s="141">
        <v>114</v>
      </c>
      <c r="H21" s="71" t="s">
        <v>94</v>
      </c>
      <c r="I21" s="136">
        <v>780000</v>
      </c>
      <c r="J21" s="48">
        <f t="shared" si="0"/>
        <v>85800</v>
      </c>
      <c r="K21" s="48">
        <f t="shared" si="1"/>
        <v>865800</v>
      </c>
      <c r="L21" s="48">
        <f t="shared" si="2"/>
        <v>98701200</v>
      </c>
      <c r="M21" s="136">
        <v>775000</v>
      </c>
      <c r="N21" s="48">
        <f t="shared" si="3"/>
        <v>85250</v>
      </c>
      <c r="O21" s="48">
        <f t="shared" si="4"/>
        <v>860250</v>
      </c>
      <c r="P21" s="48">
        <f t="shared" si="5"/>
        <v>98068500</v>
      </c>
      <c r="Q21" s="142">
        <v>755000</v>
      </c>
      <c r="R21" s="48">
        <f t="shared" si="6"/>
        <v>83050</v>
      </c>
      <c r="S21" s="48">
        <f t="shared" si="7"/>
        <v>838050</v>
      </c>
      <c r="T21" s="48">
        <f t="shared" si="8"/>
        <v>95537700</v>
      </c>
      <c r="U21" s="85">
        <f t="shared" si="9"/>
        <v>570000</v>
      </c>
      <c r="V21" s="85">
        <f t="shared" si="10"/>
        <v>20000</v>
      </c>
      <c r="W21" s="85">
        <f t="shared" si="11"/>
        <v>2280000</v>
      </c>
      <c r="X21" s="85">
        <v>0</v>
      </c>
      <c r="Y21" s="85">
        <f t="shared" si="12"/>
        <v>0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</row>
    <row r="22" spans="1:44" s="20" customFormat="1" ht="21" hidden="1" customHeight="1">
      <c r="A22" s="46">
        <v>20</v>
      </c>
      <c r="B22" s="140">
        <v>46125</v>
      </c>
      <c r="C22" s="71" t="s">
        <v>35</v>
      </c>
      <c r="D22" s="71" t="s">
        <v>22</v>
      </c>
      <c r="E22" s="71" t="s">
        <v>52</v>
      </c>
      <c r="F22" s="71" t="s">
        <v>52</v>
      </c>
      <c r="G22" s="141">
        <v>48</v>
      </c>
      <c r="H22" s="71" t="s">
        <v>94</v>
      </c>
      <c r="I22" s="136">
        <v>780000</v>
      </c>
      <c r="J22" s="48">
        <f t="shared" ref="J22:J23" si="43">I22*11%</f>
        <v>85800</v>
      </c>
      <c r="K22" s="48">
        <f t="shared" ref="K22:K23" si="44">I22+J22</f>
        <v>865800</v>
      </c>
      <c r="L22" s="48">
        <f t="shared" ref="L22:L23" si="45">K22*G22</f>
        <v>41558400</v>
      </c>
      <c r="M22" s="136">
        <v>775000</v>
      </c>
      <c r="N22" s="48">
        <f t="shared" ref="N22:N23" si="46">M22*11%</f>
        <v>85250</v>
      </c>
      <c r="O22" s="48">
        <f t="shared" ref="O22:O23" si="47">M22+N22</f>
        <v>860250</v>
      </c>
      <c r="P22" s="48">
        <f t="shared" ref="P22:P23" si="48">O22*G22</f>
        <v>41292000</v>
      </c>
      <c r="Q22" s="142">
        <v>755000</v>
      </c>
      <c r="R22" s="48">
        <f t="shared" si="6"/>
        <v>83050</v>
      </c>
      <c r="S22" s="48">
        <f t="shared" si="7"/>
        <v>838050</v>
      </c>
      <c r="T22" s="48">
        <f t="shared" si="8"/>
        <v>40226400</v>
      </c>
      <c r="U22" s="85">
        <v>0</v>
      </c>
      <c r="V22" s="85">
        <f t="shared" si="10"/>
        <v>20000</v>
      </c>
      <c r="W22" s="85">
        <f t="shared" si="11"/>
        <v>960000</v>
      </c>
      <c r="X22" s="85">
        <v>0</v>
      </c>
      <c r="Y22" s="85">
        <f t="shared" si="12"/>
        <v>0</v>
      </c>
    </row>
    <row r="23" spans="1:44" s="20" customFormat="1" ht="21" hidden="1" customHeight="1">
      <c r="A23" s="139">
        <v>21</v>
      </c>
      <c r="B23" s="140">
        <v>46125</v>
      </c>
      <c r="C23" s="71" t="s">
        <v>35</v>
      </c>
      <c r="D23" s="71" t="s">
        <v>22</v>
      </c>
      <c r="E23" s="71" t="s">
        <v>53</v>
      </c>
      <c r="F23" s="71" t="s">
        <v>95</v>
      </c>
      <c r="G23" s="141">
        <v>6</v>
      </c>
      <c r="H23" s="71" t="s">
        <v>96</v>
      </c>
      <c r="I23" s="136">
        <v>820000</v>
      </c>
      <c r="J23" s="48">
        <f t="shared" si="43"/>
        <v>90200</v>
      </c>
      <c r="K23" s="48">
        <f t="shared" si="44"/>
        <v>910200</v>
      </c>
      <c r="L23" s="48">
        <f t="shared" si="45"/>
        <v>5461200</v>
      </c>
      <c r="M23" s="136">
        <v>820000</v>
      </c>
      <c r="N23" s="48">
        <f t="shared" si="46"/>
        <v>90200</v>
      </c>
      <c r="O23" s="48">
        <f t="shared" si="47"/>
        <v>910200</v>
      </c>
      <c r="P23" s="48">
        <f t="shared" si="48"/>
        <v>5461200</v>
      </c>
      <c r="Q23" s="142">
        <v>784000</v>
      </c>
      <c r="R23" s="48">
        <f t="shared" si="6"/>
        <v>86240</v>
      </c>
      <c r="S23" s="48">
        <f t="shared" si="7"/>
        <v>870240</v>
      </c>
      <c r="T23" s="48">
        <f t="shared" si="8"/>
        <v>5221440</v>
      </c>
      <c r="U23" s="85">
        <v>0</v>
      </c>
      <c r="V23" s="85">
        <f t="shared" si="10"/>
        <v>36000</v>
      </c>
      <c r="W23" s="85">
        <f t="shared" si="11"/>
        <v>216000</v>
      </c>
      <c r="X23" s="85">
        <v>0</v>
      </c>
      <c r="Y23" s="85">
        <f t="shared" si="12"/>
        <v>0</v>
      </c>
    </row>
    <row r="24" spans="1:44" s="143" customFormat="1" ht="21" customHeight="1">
      <c r="A24" s="46">
        <v>22</v>
      </c>
      <c r="B24" s="140">
        <v>46125</v>
      </c>
      <c r="C24" s="71" t="s">
        <v>35</v>
      </c>
      <c r="D24" s="71" t="s">
        <v>39</v>
      </c>
      <c r="E24" s="71" t="s">
        <v>103</v>
      </c>
      <c r="F24" s="71" t="s">
        <v>103</v>
      </c>
      <c r="G24" s="136">
        <v>11</v>
      </c>
      <c r="H24" s="71" t="s">
        <v>26</v>
      </c>
      <c r="I24" s="136">
        <v>745000</v>
      </c>
      <c r="J24" s="48">
        <f t="shared" si="0"/>
        <v>81950</v>
      </c>
      <c r="K24" s="48">
        <f t="shared" si="1"/>
        <v>826950</v>
      </c>
      <c r="L24" s="48">
        <f t="shared" si="2"/>
        <v>9096450</v>
      </c>
      <c r="M24" s="136">
        <v>745000</v>
      </c>
      <c r="N24" s="48">
        <f t="shared" si="3"/>
        <v>81950</v>
      </c>
      <c r="O24" s="48">
        <f t="shared" si="4"/>
        <v>826950</v>
      </c>
      <c r="P24" s="48">
        <f t="shared" si="5"/>
        <v>9096450</v>
      </c>
      <c r="Q24" s="142">
        <v>710000</v>
      </c>
      <c r="R24" s="48">
        <f t="shared" si="6"/>
        <v>78100</v>
      </c>
      <c r="S24" s="48">
        <f t="shared" si="7"/>
        <v>788100</v>
      </c>
      <c r="T24" s="48">
        <f t="shared" si="8"/>
        <v>8669100</v>
      </c>
      <c r="U24" s="85">
        <f t="shared" si="9"/>
        <v>0</v>
      </c>
      <c r="V24" s="85">
        <f t="shared" si="10"/>
        <v>35000</v>
      </c>
      <c r="W24" s="85">
        <f t="shared" si="11"/>
        <v>385000</v>
      </c>
      <c r="X24" s="85">
        <v>0</v>
      </c>
      <c r="Y24" s="85">
        <f t="shared" si="12"/>
        <v>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spans="1:44" s="20" customFormat="1" ht="21" customHeight="1">
      <c r="A25" s="139">
        <v>23</v>
      </c>
      <c r="B25" s="140">
        <v>46125</v>
      </c>
      <c r="C25" s="71" t="s">
        <v>35</v>
      </c>
      <c r="D25" s="71" t="s">
        <v>39</v>
      </c>
      <c r="E25" s="71" t="s">
        <v>104</v>
      </c>
      <c r="F25" s="71" t="s">
        <v>104</v>
      </c>
      <c r="G25" s="141">
        <v>15.5</v>
      </c>
      <c r="H25" s="71" t="s">
        <v>26</v>
      </c>
      <c r="I25" s="136">
        <v>745000</v>
      </c>
      <c r="J25" s="48">
        <f t="shared" si="0"/>
        <v>81950</v>
      </c>
      <c r="K25" s="48">
        <f t="shared" si="1"/>
        <v>826950</v>
      </c>
      <c r="L25" s="48">
        <f t="shared" si="2"/>
        <v>12817725</v>
      </c>
      <c r="M25" s="136">
        <v>745000</v>
      </c>
      <c r="N25" s="48">
        <f t="shared" si="3"/>
        <v>81950</v>
      </c>
      <c r="O25" s="48">
        <f t="shared" si="4"/>
        <v>826950</v>
      </c>
      <c r="P25" s="48">
        <f t="shared" si="5"/>
        <v>12817725</v>
      </c>
      <c r="Q25" s="142">
        <v>710000</v>
      </c>
      <c r="R25" s="48">
        <f t="shared" si="6"/>
        <v>78100</v>
      </c>
      <c r="S25" s="48">
        <f t="shared" si="7"/>
        <v>788100</v>
      </c>
      <c r="T25" s="48">
        <f t="shared" si="8"/>
        <v>12215550</v>
      </c>
      <c r="U25" s="85">
        <f t="shared" si="9"/>
        <v>0</v>
      </c>
      <c r="V25" s="85">
        <f t="shared" si="10"/>
        <v>35000</v>
      </c>
      <c r="W25" s="85">
        <f t="shared" si="11"/>
        <v>542500</v>
      </c>
      <c r="X25" s="85">
        <v>0</v>
      </c>
      <c r="Y25" s="85">
        <f t="shared" si="12"/>
        <v>0</v>
      </c>
    </row>
    <row r="26" spans="1:44" s="20" customFormat="1" ht="21" customHeight="1">
      <c r="A26" s="46">
        <v>24</v>
      </c>
      <c r="B26" s="140">
        <v>46126</v>
      </c>
      <c r="C26" s="71" t="s">
        <v>35</v>
      </c>
      <c r="D26" s="71" t="s">
        <v>39</v>
      </c>
      <c r="E26" s="71" t="s">
        <v>101</v>
      </c>
      <c r="F26" s="71" t="s">
        <v>51</v>
      </c>
      <c r="G26" s="136">
        <v>10</v>
      </c>
      <c r="H26" s="71" t="s">
        <v>102</v>
      </c>
      <c r="I26" s="136">
        <v>790000</v>
      </c>
      <c r="J26" s="48">
        <f t="shared" si="0"/>
        <v>86900</v>
      </c>
      <c r="K26" s="48">
        <f t="shared" si="1"/>
        <v>876900</v>
      </c>
      <c r="L26" s="48">
        <f t="shared" si="2"/>
        <v>8769000</v>
      </c>
      <c r="M26" s="136">
        <v>790000</v>
      </c>
      <c r="N26" s="48">
        <f t="shared" si="3"/>
        <v>86900</v>
      </c>
      <c r="O26" s="48">
        <f t="shared" si="4"/>
        <v>876900</v>
      </c>
      <c r="P26" s="48">
        <f t="shared" si="5"/>
        <v>8769000</v>
      </c>
      <c r="Q26" s="142">
        <v>740000</v>
      </c>
      <c r="R26" s="48">
        <f t="shared" si="6"/>
        <v>81400</v>
      </c>
      <c r="S26" s="48">
        <f t="shared" si="7"/>
        <v>821400</v>
      </c>
      <c r="T26" s="48">
        <f t="shared" si="8"/>
        <v>8214000</v>
      </c>
      <c r="U26" s="85">
        <v>0</v>
      </c>
      <c r="V26" s="85">
        <f t="shared" si="10"/>
        <v>50000</v>
      </c>
      <c r="W26" s="85">
        <f t="shared" si="11"/>
        <v>500000</v>
      </c>
      <c r="X26" s="85">
        <v>15000</v>
      </c>
      <c r="Y26" s="85">
        <f t="shared" si="12"/>
        <v>150000</v>
      </c>
    </row>
    <row r="27" spans="1:44" s="20" customFormat="1" ht="21" hidden="1" customHeight="1">
      <c r="A27" s="139">
        <v>25</v>
      </c>
      <c r="B27" s="140">
        <v>46126</v>
      </c>
      <c r="C27" s="71" t="s">
        <v>35</v>
      </c>
      <c r="D27" s="71" t="s">
        <v>22</v>
      </c>
      <c r="E27" s="71" t="s">
        <v>52</v>
      </c>
      <c r="F27" s="71" t="s">
        <v>52</v>
      </c>
      <c r="G27" s="141">
        <v>30</v>
      </c>
      <c r="H27" s="71" t="s">
        <v>94</v>
      </c>
      <c r="I27" s="136">
        <v>780000</v>
      </c>
      <c r="J27" s="48">
        <f t="shared" si="0"/>
        <v>85800</v>
      </c>
      <c r="K27" s="48">
        <f t="shared" si="1"/>
        <v>865800</v>
      </c>
      <c r="L27" s="48">
        <f t="shared" si="2"/>
        <v>25974000</v>
      </c>
      <c r="M27" s="136">
        <v>775000</v>
      </c>
      <c r="N27" s="48">
        <f t="shared" si="3"/>
        <v>85250</v>
      </c>
      <c r="O27" s="48">
        <f t="shared" si="4"/>
        <v>860250</v>
      </c>
      <c r="P27" s="48">
        <f t="shared" si="5"/>
        <v>25807500</v>
      </c>
      <c r="Q27" s="142">
        <v>755000</v>
      </c>
      <c r="R27" s="48">
        <f t="shared" si="6"/>
        <v>83050</v>
      </c>
      <c r="S27" s="48">
        <f t="shared" si="7"/>
        <v>838050</v>
      </c>
      <c r="T27" s="48">
        <f t="shared" si="8"/>
        <v>25141500</v>
      </c>
      <c r="U27" s="85">
        <v>0</v>
      </c>
      <c r="V27" s="85">
        <f t="shared" si="10"/>
        <v>20000</v>
      </c>
      <c r="W27" s="85">
        <f t="shared" si="11"/>
        <v>600000</v>
      </c>
      <c r="X27" s="85">
        <v>0</v>
      </c>
      <c r="Y27" s="85">
        <f t="shared" si="12"/>
        <v>0</v>
      </c>
    </row>
    <row r="28" spans="1:44" s="20" customFormat="1" ht="21" hidden="1" customHeight="1">
      <c r="A28" s="46">
        <v>26</v>
      </c>
      <c r="B28" s="140">
        <v>46126</v>
      </c>
      <c r="C28" s="71" t="s">
        <v>35</v>
      </c>
      <c r="D28" s="71" t="s">
        <v>22</v>
      </c>
      <c r="E28" s="71" t="s">
        <v>53</v>
      </c>
      <c r="F28" s="71" t="s">
        <v>95</v>
      </c>
      <c r="G28" s="141">
        <v>6</v>
      </c>
      <c r="H28" s="71" t="s">
        <v>96</v>
      </c>
      <c r="I28" s="136">
        <v>820000</v>
      </c>
      <c r="J28" s="48">
        <f t="shared" si="0"/>
        <v>90200</v>
      </c>
      <c r="K28" s="48">
        <f t="shared" si="1"/>
        <v>910200</v>
      </c>
      <c r="L28" s="48">
        <f t="shared" si="2"/>
        <v>5461200</v>
      </c>
      <c r="M28" s="136">
        <v>820000</v>
      </c>
      <c r="N28" s="48">
        <f t="shared" si="3"/>
        <v>90200</v>
      </c>
      <c r="O28" s="48">
        <f t="shared" si="4"/>
        <v>910200</v>
      </c>
      <c r="P28" s="48">
        <f t="shared" si="5"/>
        <v>5461200</v>
      </c>
      <c r="Q28" s="142">
        <v>784000</v>
      </c>
      <c r="R28" s="48">
        <f t="shared" si="6"/>
        <v>86240</v>
      </c>
      <c r="S28" s="48">
        <f t="shared" si="7"/>
        <v>870240</v>
      </c>
      <c r="T28" s="48">
        <f t="shared" si="8"/>
        <v>5221440</v>
      </c>
      <c r="U28" s="85">
        <f t="shared" si="9"/>
        <v>0</v>
      </c>
      <c r="V28" s="85">
        <f t="shared" si="10"/>
        <v>36000</v>
      </c>
      <c r="W28" s="85">
        <f t="shared" si="11"/>
        <v>216000</v>
      </c>
      <c r="X28" s="85">
        <v>0</v>
      </c>
      <c r="Y28" s="85">
        <f t="shared" si="12"/>
        <v>0</v>
      </c>
    </row>
    <row r="29" spans="1:44" s="20" customFormat="1" ht="21" hidden="1" customHeight="1">
      <c r="A29" s="139">
        <v>27</v>
      </c>
      <c r="B29" s="140">
        <v>46127</v>
      </c>
      <c r="C29" s="71" t="s">
        <v>35</v>
      </c>
      <c r="D29" s="71" t="s">
        <v>22</v>
      </c>
      <c r="E29" s="71" t="s">
        <v>105</v>
      </c>
      <c r="F29" s="71" t="s">
        <v>106</v>
      </c>
      <c r="G29" s="141">
        <v>4</v>
      </c>
      <c r="H29" s="71" t="s">
        <v>25</v>
      </c>
      <c r="I29" s="136">
        <v>800000</v>
      </c>
      <c r="J29" s="48">
        <f t="shared" si="0"/>
        <v>88000</v>
      </c>
      <c r="K29" s="48">
        <f t="shared" si="1"/>
        <v>888000</v>
      </c>
      <c r="L29" s="48">
        <f t="shared" si="2"/>
        <v>3552000</v>
      </c>
      <c r="M29" s="136">
        <v>800000</v>
      </c>
      <c r="N29" s="48">
        <f t="shared" si="3"/>
        <v>88000</v>
      </c>
      <c r="O29" s="48">
        <f t="shared" si="4"/>
        <v>888000</v>
      </c>
      <c r="P29" s="48">
        <f t="shared" si="5"/>
        <v>3552000</v>
      </c>
      <c r="Q29" s="142">
        <v>750000</v>
      </c>
      <c r="R29" s="48">
        <f t="shared" si="6"/>
        <v>82500</v>
      </c>
      <c r="S29" s="48">
        <f t="shared" si="7"/>
        <v>832500</v>
      </c>
      <c r="T29" s="48">
        <f t="shared" si="8"/>
        <v>3330000</v>
      </c>
      <c r="U29" s="85">
        <f t="shared" si="9"/>
        <v>0</v>
      </c>
      <c r="V29" s="85">
        <f t="shared" si="10"/>
        <v>50000</v>
      </c>
      <c r="W29" s="85">
        <f t="shared" si="11"/>
        <v>200000</v>
      </c>
      <c r="X29" s="85">
        <v>5000</v>
      </c>
      <c r="Y29" s="85">
        <f t="shared" si="12"/>
        <v>20000</v>
      </c>
    </row>
    <row r="30" spans="1:44" s="20" customFormat="1" ht="21" hidden="1" customHeight="1">
      <c r="A30" s="46">
        <v>28</v>
      </c>
      <c r="B30" s="140">
        <v>46127</v>
      </c>
      <c r="C30" s="71" t="s">
        <v>35</v>
      </c>
      <c r="D30" s="71" t="s">
        <v>22</v>
      </c>
      <c r="E30" s="71" t="s">
        <v>53</v>
      </c>
      <c r="F30" s="71" t="s">
        <v>95</v>
      </c>
      <c r="G30" s="141">
        <v>6</v>
      </c>
      <c r="H30" s="71" t="s">
        <v>96</v>
      </c>
      <c r="I30" s="136">
        <v>820000</v>
      </c>
      <c r="J30" s="48">
        <f t="shared" ref="J30" si="49">I30*11%</f>
        <v>90200</v>
      </c>
      <c r="K30" s="48">
        <f t="shared" ref="K30" si="50">I30+J30</f>
        <v>910200</v>
      </c>
      <c r="L30" s="48">
        <f t="shared" ref="L30" si="51">K30*G30</f>
        <v>5461200</v>
      </c>
      <c r="M30" s="136">
        <v>820000</v>
      </c>
      <c r="N30" s="48">
        <f t="shared" ref="N30" si="52">M30*11%</f>
        <v>90200</v>
      </c>
      <c r="O30" s="48">
        <f t="shared" ref="O30" si="53">M30+N30</f>
        <v>910200</v>
      </c>
      <c r="P30" s="48">
        <f t="shared" ref="P30" si="54">O30*G30</f>
        <v>5461200</v>
      </c>
      <c r="Q30" s="142">
        <v>784000</v>
      </c>
      <c r="R30" s="48">
        <f t="shared" si="6"/>
        <v>86240</v>
      </c>
      <c r="S30" s="48">
        <f t="shared" si="7"/>
        <v>870240</v>
      </c>
      <c r="T30" s="48">
        <f t="shared" si="8"/>
        <v>5221440</v>
      </c>
      <c r="U30" s="85">
        <f t="shared" si="9"/>
        <v>0</v>
      </c>
      <c r="V30" s="85">
        <f t="shared" si="10"/>
        <v>36000</v>
      </c>
      <c r="W30" s="85">
        <f t="shared" si="11"/>
        <v>216000</v>
      </c>
      <c r="X30" s="85">
        <v>0</v>
      </c>
      <c r="Y30" s="85">
        <f t="shared" si="12"/>
        <v>0</v>
      </c>
    </row>
    <row r="31" spans="1:44" s="20" customFormat="1" ht="21" hidden="1" customHeight="1">
      <c r="A31" s="139">
        <v>29</v>
      </c>
      <c r="B31" s="140">
        <v>46129</v>
      </c>
      <c r="C31" s="71" t="s">
        <v>35</v>
      </c>
      <c r="D31" s="71" t="s">
        <v>22</v>
      </c>
      <c r="E31" s="71" t="s">
        <v>53</v>
      </c>
      <c r="F31" s="71" t="s">
        <v>95</v>
      </c>
      <c r="G31" s="141">
        <v>6</v>
      </c>
      <c r="H31" s="71" t="s">
        <v>96</v>
      </c>
      <c r="I31" s="136">
        <v>890000</v>
      </c>
      <c r="J31" s="48">
        <f t="shared" ref="J31" si="55">I31*11%</f>
        <v>97900</v>
      </c>
      <c r="K31" s="48">
        <f t="shared" ref="K31" si="56">I31+J31</f>
        <v>987900</v>
      </c>
      <c r="L31" s="48">
        <f t="shared" ref="L31" si="57">K31*G31</f>
        <v>5927400</v>
      </c>
      <c r="M31" s="136">
        <v>890000</v>
      </c>
      <c r="N31" s="48">
        <f t="shared" ref="N31" si="58">M31*11%</f>
        <v>97900</v>
      </c>
      <c r="O31" s="48">
        <f t="shared" ref="O31" si="59">M31+N31</f>
        <v>987900</v>
      </c>
      <c r="P31" s="48">
        <f t="shared" ref="P31" si="60">O31*G31</f>
        <v>5927400</v>
      </c>
      <c r="Q31" s="142">
        <v>860000</v>
      </c>
      <c r="R31" s="48">
        <f t="shared" si="6"/>
        <v>94600</v>
      </c>
      <c r="S31" s="48">
        <f t="shared" si="7"/>
        <v>954600</v>
      </c>
      <c r="T31" s="48">
        <f t="shared" si="8"/>
        <v>5727600</v>
      </c>
      <c r="U31" s="85">
        <f t="shared" si="9"/>
        <v>0</v>
      </c>
      <c r="V31" s="85">
        <f t="shared" si="10"/>
        <v>30000</v>
      </c>
      <c r="W31" s="85">
        <f t="shared" si="11"/>
        <v>180000</v>
      </c>
      <c r="X31" s="85">
        <v>0</v>
      </c>
      <c r="Y31" s="85">
        <f t="shared" si="12"/>
        <v>0</v>
      </c>
    </row>
    <row r="32" spans="1:44" s="20" customFormat="1" ht="21" hidden="1" customHeight="1">
      <c r="A32" s="46">
        <v>30</v>
      </c>
      <c r="B32" s="140">
        <v>46129</v>
      </c>
      <c r="C32" s="71" t="s">
        <v>35</v>
      </c>
      <c r="D32" s="71" t="s">
        <v>22</v>
      </c>
      <c r="E32" s="71" t="s">
        <v>107</v>
      </c>
      <c r="F32" s="71" t="s">
        <v>108</v>
      </c>
      <c r="G32" s="141">
        <v>30</v>
      </c>
      <c r="H32" s="71" t="s">
        <v>25</v>
      </c>
      <c r="I32" s="136">
        <v>820000</v>
      </c>
      <c r="J32" s="48">
        <f t="shared" si="0"/>
        <v>90200</v>
      </c>
      <c r="K32" s="48">
        <f t="shared" si="1"/>
        <v>910200</v>
      </c>
      <c r="L32" s="48">
        <f t="shared" si="2"/>
        <v>27306000</v>
      </c>
      <c r="M32" s="136">
        <v>820000</v>
      </c>
      <c r="N32" s="48">
        <f t="shared" si="3"/>
        <v>90200</v>
      </c>
      <c r="O32" s="48">
        <f t="shared" si="4"/>
        <v>910200</v>
      </c>
      <c r="P32" s="48">
        <f t="shared" si="5"/>
        <v>27306000</v>
      </c>
      <c r="Q32" s="142">
        <v>740000</v>
      </c>
      <c r="R32" s="48">
        <f t="shared" si="6"/>
        <v>81400</v>
      </c>
      <c r="S32" s="48">
        <f t="shared" si="7"/>
        <v>821400</v>
      </c>
      <c r="T32" s="48">
        <f t="shared" si="8"/>
        <v>24642000</v>
      </c>
      <c r="U32" s="85">
        <v>0</v>
      </c>
      <c r="V32" s="85">
        <f t="shared" si="10"/>
        <v>80000</v>
      </c>
      <c r="W32" s="85">
        <f t="shared" si="11"/>
        <v>2400000</v>
      </c>
      <c r="X32" s="85">
        <v>5000</v>
      </c>
      <c r="Y32" s="85">
        <f t="shared" si="12"/>
        <v>150000</v>
      </c>
    </row>
    <row r="33" spans="1:43" s="20" customFormat="1" ht="21" hidden="1" customHeight="1">
      <c r="A33" s="139">
        <v>31</v>
      </c>
      <c r="B33" s="140">
        <v>46129</v>
      </c>
      <c r="C33" s="71" t="s">
        <v>35</v>
      </c>
      <c r="D33" s="38" t="s">
        <v>22</v>
      </c>
      <c r="E33" s="71" t="s">
        <v>107</v>
      </c>
      <c r="F33" s="71" t="s">
        <v>108</v>
      </c>
      <c r="G33" s="136">
        <v>90</v>
      </c>
      <c r="H33" s="71" t="s">
        <v>30</v>
      </c>
      <c r="I33" s="136">
        <v>820000</v>
      </c>
      <c r="J33" s="48">
        <f t="shared" si="0"/>
        <v>90200</v>
      </c>
      <c r="K33" s="48">
        <f t="shared" si="1"/>
        <v>910200</v>
      </c>
      <c r="L33" s="48">
        <f t="shared" si="2"/>
        <v>81918000</v>
      </c>
      <c r="M33" s="136">
        <v>820000</v>
      </c>
      <c r="N33" s="48">
        <f t="shared" si="3"/>
        <v>90200</v>
      </c>
      <c r="O33" s="48">
        <f t="shared" si="4"/>
        <v>910200</v>
      </c>
      <c r="P33" s="48">
        <f t="shared" si="5"/>
        <v>81918000</v>
      </c>
      <c r="Q33" s="142">
        <v>770000</v>
      </c>
      <c r="R33" s="48">
        <f t="shared" si="6"/>
        <v>84700</v>
      </c>
      <c r="S33" s="48">
        <f t="shared" si="7"/>
        <v>854700</v>
      </c>
      <c r="T33" s="48">
        <f t="shared" si="8"/>
        <v>76923000</v>
      </c>
      <c r="U33" s="85">
        <f t="shared" si="9"/>
        <v>0</v>
      </c>
      <c r="V33" s="85">
        <f t="shared" si="10"/>
        <v>50000</v>
      </c>
      <c r="W33" s="85">
        <f t="shared" si="11"/>
        <v>4500000</v>
      </c>
      <c r="X33" s="85">
        <v>5000</v>
      </c>
      <c r="Y33" s="85">
        <f t="shared" si="12"/>
        <v>450000</v>
      </c>
    </row>
    <row r="34" spans="1:43" s="20" customFormat="1" ht="21" customHeight="1">
      <c r="A34" s="46">
        <v>32</v>
      </c>
      <c r="B34" s="140">
        <v>46130</v>
      </c>
      <c r="C34" s="71" t="s">
        <v>35</v>
      </c>
      <c r="D34" s="38" t="s">
        <v>39</v>
      </c>
      <c r="E34" s="71" t="s">
        <v>109</v>
      </c>
      <c r="F34" s="71" t="s">
        <v>110</v>
      </c>
      <c r="G34" s="141">
        <v>25</v>
      </c>
      <c r="H34" s="71" t="s">
        <v>25</v>
      </c>
      <c r="I34" s="136">
        <v>760000</v>
      </c>
      <c r="J34" s="48">
        <f t="shared" si="0"/>
        <v>83600</v>
      </c>
      <c r="K34" s="48">
        <f t="shared" si="1"/>
        <v>843600</v>
      </c>
      <c r="L34" s="48">
        <f t="shared" si="2"/>
        <v>21090000</v>
      </c>
      <c r="M34" s="136">
        <v>760000</v>
      </c>
      <c r="N34" s="48">
        <f t="shared" si="3"/>
        <v>83600</v>
      </c>
      <c r="O34" s="48">
        <f t="shared" si="4"/>
        <v>843600</v>
      </c>
      <c r="P34" s="48">
        <f t="shared" si="5"/>
        <v>21090000</v>
      </c>
      <c r="Q34" s="142">
        <v>725000</v>
      </c>
      <c r="R34" s="48">
        <f t="shared" si="6"/>
        <v>79750</v>
      </c>
      <c r="S34" s="48">
        <f t="shared" si="7"/>
        <v>804750</v>
      </c>
      <c r="T34" s="48">
        <f t="shared" si="8"/>
        <v>20118750</v>
      </c>
      <c r="U34" s="85">
        <f t="shared" si="9"/>
        <v>0</v>
      </c>
      <c r="V34" s="85">
        <f t="shared" si="10"/>
        <v>35000</v>
      </c>
      <c r="W34" s="85">
        <f t="shared" si="11"/>
        <v>875000</v>
      </c>
      <c r="X34" s="85">
        <v>0</v>
      </c>
      <c r="Y34" s="85">
        <f t="shared" si="12"/>
        <v>0</v>
      </c>
    </row>
    <row r="35" spans="1:43" s="20" customFormat="1" ht="21" hidden="1" customHeight="1">
      <c r="A35" s="139">
        <v>33</v>
      </c>
      <c r="B35" s="140">
        <v>46130</v>
      </c>
      <c r="C35" s="71" t="s">
        <v>35</v>
      </c>
      <c r="D35" s="71" t="s">
        <v>22</v>
      </c>
      <c r="E35" s="71" t="s">
        <v>53</v>
      </c>
      <c r="F35" s="71" t="s">
        <v>95</v>
      </c>
      <c r="G35" s="141">
        <v>6</v>
      </c>
      <c r="H35" s="71" t="s">
        <v>96</v>
      </c>
      <c r="I35" s="136">
        <v>890000</v>
      </c>
      <c r="J35" s="48">
        <f t="shared" si="0"/>
        <v>97900</v>
      </c>
      <c r="K35" s="48">
        <f t="shared" si="1"/>
        <v>987900</v>
      </c>
      <c r="L35" s="48">
        <f t="shared" si="2"/>
        <v>5927400</v>
      </c>
      <c r="M35" s="136">
        <v>890000</v>
      </c>
      <c r="N35" s="48">
        <f t="shared" si="3"/>
        <v>97900</v>
      </c>
      <c r="O35" s="48">
        <f t="shared" si="4"/>
        <v>987900</v>
      </c>
      <c r="P35" s="48">
        <f t="shared" si="5"/>
        <v>5927400</v>
      </c>
      <c r="Q35" s="142">
        <v>860000</v>
      </c>
      <c r="R35" s="48">
        <f t="shared" ref="R35:R52" si="61">Q35*11%</f>
        <v>94600</v>
      </c>
      <c r="S35" s="48">
        <f t="shared" ref="S35:S52" si="62">Q35+R35</f>
        <v>954600</v>
      </c>
      <c r="T35" s="48">
        <f t="shared" ref="T35:T52" si="63">S35*G35</f>
        <v>5727600</v>
      </c>
      <c r="U35" s="85">
        <f t="shared" ref="U35:U52" si="64">G35*(I35-M35)</f>
        <v>0</v>
      </c>
      <c r="V35" s="85">
        <f t="shared" ref="V35:V52" si="65">M35-Q35</f>
        <v>30000</v>
      </c>
      <c r="W35" s="85">
        <f t="shared" ref="W35:W52" si="66">G35*V35</f>
        <v>180000</v>
      </c>
      <c r="X35" s="85">
        <v>0</v>
      </c>
      <c r="Y35" s="85">
        <f t="shared" ref="Y35:Y52" si="67">X35*G35</f>
        <v>0</v>
      </c>
    </row>
    <row r="36" spans="1:43" s="20" customFormat="1" ht="21" hidden="1" customHeight="1">
      <c r="A36" s="46">
        <v>34</v>
      </c>
      <c r="B36" s="140">
        <v>46132</v>
      </c>
      <c r="C36" s="71" t="s">
        <v>35</v>
      </c>
      <c r="D36" s="71" t="s">
        <v>22</v>
      </c>
      <c r="E36" s="71" t="s">
        <v>53</v>
      </c>
      <c r="F36" s="71" t="s">
        <v>95</v>
      </c>
      <c r="G36" s="141">
        <v>6</v>
      </c>
      <c r="H36" s="71" t="s">
        <v>96</v>
      </c>
      <c r="I36" s="136">
        <v>890000</v>
      </c>
      <c r="J36" s="48">
        <f t="shared" ref="J36:J37" si="68">I36*11%</f>
        <v>97900</v>
      </c>
      <c r="K36" s="48">
        <f t="shared" ref="K36:K37" si="69">I36+J36</f>
        <v>987900</v>
      </c>
      <c r="L36" s="48">
        <f t="shared" ref="L36:L37" si="70">K36*G36</f>
        <v>5927400</v>
      </c>
      <c r="M36" s="136">
        <v>890000</v>
      </c>
      <c r="N36" s="48">
        <f t="shared" ref="N36:N37" si="71">M36*11%</f>
        <v>97900</v>
      </c>
      <c r="O36" s="48">
        <f t="shared" ref="O36:O37" si="72">M36+N36</f>
        <v>987900</v>
      </c>
      <c r="P36" s="48">
        <f t="shared" ref="P36:P37" si="73">O36*G36</f>
        <v>5927400</v>
      </c>
      <c r="Q36" s="142">
        <v>860000</v>
      </c>
      <c r="R36" s="48">
        <f t="shared" si="61"/>
        <v>94600</v>
      </c>
      <c r="S36" s="48">
        <f t="shared" si="62"/>
        <v>954600</v>
      </c>
      <c r="T36" s="48">
        <f t="shared" si="63"/>
        <v>5727600</v>
      </c>
      <c r="U36" s="85">
        <f t="shared" si="64"/>
        <v>0</v>
      </c>
      <c r="V36" s="85">
        <f t="shared" si="65"/>
        <v>30000</v>
      </c>
      <c r="W36" s="85">
        <f t="shared" si="66"/>
        <v>180000</v>
      </c>
      <c r="X36" s="85">
        <v>0</v>
      </c>
      <c r="Y36" s="85">
        <f t="shared" si="67"/>
        <v>0</v>
      </c>
    </row>
    <row r="37" spans="1:43" s="20" customFormat="1" ht="21" customHeight="1">
      <c r="A37" s="139">
        <v>35</v>
      </c>
      <c r="B37" s="140">
        <v>46133</v>
      </c>
      <c r="C37" s="71" t="s">
        <v>35</v>
      </c>
      <c r="D37" s="71" t="s">
        <v>39</v>
      </c>
      <c r="E37" s="71" t="s">
        <v>101</v>
      </c>
      <c r="F37" s="71" t="s">
        <v>51</v>
      </c>
      <c r="G37" s="136">
        <v>6</v>
      </c>
      <c r="H37" s="71" t="s">
        <v>102</v>
      </c>
      <c r="I37" s="136">
        <v>790000</v>
      </c>
      <c r="J37" s="48">
        <f t="shared" si="68"/>
        <v>86900</v>
      </c>
      <c r="K37" s="48">
        <f t="shared" si="69"/>
        <v>876900</v>
      </c>
      <c r="L37" s="48">
        <f t="shared" si="70"/>
        <v>5261400</v>
      </c>
      <c r="M37" s="136">
        <v>790000</v>
      </c>
      <c r="N37" s="48">
        <f t="shared" si="71"/>
        <v>86900</v>
      </c>
      <c r="O37" s="48">
        <f t="shared" si="72"/>
        <v>876900</v>
      </c>
      <c r="P37" s="48">
        <f t="shared" si="73"/>
        <v>5261400</v>
      </c>
      <c r="Q37" s="142">
        <v>740000</v>
      </c>
      <c r="R37" s="48">
        <f t="shared" si="61"/>
        <v>81400</v>
      </c>
      <c r="S37" s="48">
        <f t="shared" si="62"/>
        <v>821400</v>
      </c>
      <c r="T37" s="48">
        <f t="shared" si="63"/>
        <v>4928400</v>
      </c>
      <c r="U37" s="85">
        <v>0</v>
      </c>
      <c r="V37" s="85">
        <f t="shared" si="65"/>
        <v>50000</v>
      </c>
      <c r="W37" s="85">
        <f t="shared" si="66"/>
        <v>300000</v>
      </c>
      <c r="X37" s="85">
        <v>15000</v>
      </c>
      <c r="Y37" s="85">
        <f t="shared" si="67"/>
        <v>90000</v>
      </c>
    </row>
    <row r="38" spans="1:43" s="143" customFormat="1" ht="21" customHeight="1">
      <c r="A38" s="46">
        <v>36</v>
      </c>
      <c r="B38" s="140">
        <v>46135</v>
      </c>
      <c r="C38" s="71" t="s">
        <v>35</v>
      </c>
      <c r="D38" s="71" t="s">
        <v>39</v>
      </c>
      <c r="E38" s="71" t="s">
        <v>101</v>
      </c>
      <c r="F38" s="71" t="s">
        <v>51</v>
      </c>
      <c r="G38" s="136">
        <v>6</v>
      </c>
      <c r="H38" s="71" t="s">
        <v>102</v>
      </c>
      <c r="I38" s="136">
        <v>790000</v>
      </c>
      <c r="J38" s="48">
        <f t="shared" ref="J38" si="74">I38*11%</f>
        <v>86900</v>
      </c>
      <c r="K38" s="48">
        <f t="shared" ref="K38" si="75">I38+J38</f>
        <v>876900</v>
      </c>
      <c r="L38" s="48">
        <f t="shared" ref="L38" si="76">K38*G38</f>
        <v>5261400</v>
      </c>
      <c r="M38" s="136">
        <v>790000</v>
      </c>
      <c r="N38" s="48">
        <f t="shared" ref="N38" si="77">M38*11%</f>
        <v>86900</v>
      </c>
      <c r="O38" s="48">
        <f t="shared" ref="O38" si="78">M38+N38</f>
        <v>876900</v>
      </c>
      <c r="P38" s="48">
        <f t="shared" ref="P38" si="79">O38*G38</f>
        <v>5261400</v>
      </c>
      <c r="Q38" s="142">
        <v>740000</v>
      </c>
      <c r="R38" s="48">
        <f t="shared" si="61"/>
        <v>81400</v>
      </c>
      <c r="S38" s="48">
        <f t="shared" si="62"/>
        <v>821400</v>
      </c>
      <c r="T38" s="48">
        <f t="shared" si="63"/>
        <v>4928400</v>
      </c>
      <c r="U38" s="85">
        <v>0</v>
      </c>
      <c r="V38" s="85">
        <f t="shared" si="65"/>
        <v>50000</v>
      </c>
      <c r="W38" s="85">
        <f t="shared" si="66"/>
        <v>300000</v>
      </c>
      <c r="X38" s="85">
        <v>15000</v>
      </c>
      <c r="Y38" s="85">
        <f t="shared" si="67"/>
        <v>90000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</row>
    <row r="39" spans="1:43" s="143" customFormat="1" ht="21" customHeight="1">
      <c r="A39" s="139">
        <v>37</v>
      </c>
      <c r="B39" s="140">
        <v>46135</v>
      </c>
      <c r="C39" s="71" t="s">
        <v>35</v>
      </c>
      <c r="D39" s="71" t="s">
        <v>39</v>
      </c>
      <c r="E39" s="71" t="s">
        <v>111</v>
      </c>
      <c r="F39" s="71" t="s">
        <v>112</v>
      </c>
      <c r="G39" s="141">
        <v>50</v>
      </c>
      <c r="H39" s="71" t="s">
        <v>25</v>
      </c>
      <c r="I39" s="136">
        <v>795000</v>
      </c>
      <c r="J39" s="48">
        <f t="shared" ref="J39:J52" si="80">I39*11%</f>
        <v>87450</v>
      </c>
      <c r="K39" s="48">
        <f t="shared" ref="K39:K52" si="81">I39+J39</f>
        <v>882450</v>
      </c>
      <c r="L39" s="48">
        <f t="shared" ref="L39:L52" si="82">K39*G39</f>
        <v>44122500</v>
      </c>
      <c r="M39" s="136">
        <v>780000</v>
      </c>
      <c r="N39" s="48">
        <f t="shared" ref="N39:N52" si="83">M39*11%</f>
        <v>85800</v>
      </c>
      <c r="O39" s="48">
        <f t="shared" ref="O39:O52" si="84">M39+N39</f>
        <v>865800</v>
      </c>
      <c r="P39" s="48">
        <f t="shared" ref="P39:P52" si="85">O39*G39</f>
        <v>43290000</v>
      </c>
      <c r="Q39" s="142">
        <v>730000</v>
      </c>
      <c r="R39" s="48">
        <f t="shared" si="61"/>
        <v>80300</v>
      </c>
      <c r="S39" s="48">
        <f t="shared" si="62"/>
        <v>810300</v>
      </c>
      <c r="T39" s="48">
        <f t="shared" si="63"/>
        <v>40515000</v>
      </c>
      <c r="U39" s="85">
        <v>0</v>
      </c>
      <c r="V39" s="85">
        <f t="shared" si="65"/>
        <v>50000</v>
      </c>
      <c r="W39" s="85">
        <f t="shared" si="66"/>
        <v>2500000</v>
      </c>
      <c r="X39" s="85">
        <v>15000</v>
      </c>
      <c r="Y39" s="85">
        <f t="shared" si="67"/>
        <v>750000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</row>
    <row r="40" spans="1:43" s="20" customFormat="1" ht="21" hidden="1" customHeight="1">
      <c r="A40" s="46">
        <v>38</v>
      </c>
      <c r="B40" s="140">
        <v>46136</v>
      </c>
      <c r="C40" s="71" t="s">
        <v>35</v>
      </c>
      <c r="D40" s="71" t="s">
        <v>22</v>
      </c>
      <c r="E40" s="71" t="s">
        <v>53</v>
      </c>
      <c r="F40" s="71" t="s">
        <v>95</v>
      </c>
      <c r="G40" s="141">
        <v>6</v>
      </c>
      <c r="H40" s="71" t="s">
        <v>96</v>
      </c>
      <c r="I40" s="136">
        <v>880000</v>
      </c>
      <c r="J40" s="48">
        <f t="shared" si="80"/>
        <v>96800</v>
      </c>
      <c r="K40" s="48">
        <f t="shared" si="81"/>
        <v>976800</v>
      </c>
      <c r="L40" s="48">
        <f t="shared" si="82"/>
        <v>5860800</v>
      </c>
      <c r="M40" s="136">
        <v>880000</v>
      </c>
      <c r="N40" s="48">
        <f t="shared" si="83"/>
        <v>96800</v>
      </c>
      <c r="O40" s="48">
        <f t="shared" si="84"/>
        <v>976800</v>
      </c>
      <c r="P40" s="48">
        <f t="shared" si="85"/>
        <v>5860800</v>
      </c>
      <c r="Q40" s="142">
        <v>860000</v>
      </c>
      <c r="R40" s="48">
        <f t="shared" si="61"/>
        <v>94600</v>
      </c>
      <c r="S40" s="48">
        <f t="shared" si="62"/>
        <v>954600</v>
      </c>
      <c r="T40" s="48">
        <f t="shared" si="63"/>
        <v>5727600</v>
      </c>
      <c r="U40" s="85">
        <v>0</v>
      </c>
      <c r="V40" s="85">
        <f t="shared" si="65"/>
        <v>20000</v>
      </c>
      <c r="W40" s="85">
        <f t="shared" si="66"/>
        <v>120000</v>
      </c>
      <c r="X40" s="85">
        <v>0</v>
      </c>
      <c r="Y40" s="85">
        <f t="shared" si="67"/>
        <v>0</v>
      </c>
    </row>
    <row r="41" spans="1:43" s="143" customFormat="1" ht="21" customHeight="1">
      <c r="A41" s="139">
        <v>39</v>
      </c>
      <c r="B41" s="140">
        <v>46136</v>
      </c>
      <c r="C41" s="71" t="s">
        <v>35</v>
      </c>
      <c r="D41" s="71" t="s">
        <v>39</v>
      </c>
      <c r="E41" s="71" t="s">
        <v>113</v>
      </c>
      <c r="F41" s="71" t="s">
        <v>132</v>
      </c>
      <c r="G41" s="136">
        <v>78</v>
      </c>
      <c r="H41" s="71" t="s">
        <v>48</v>
      </c>
      <c r="I41" s="136">
        <v>830000</v>
      </c>
      <c r="J41" s="48">
        <f t="shared" si="80"/>
        <v>91300</v>
      </c>
      <c r="K41" s="48">
        <f t="shared" si="81"/>
        <v>921300</v>
      </c>
      <c r="L41" s="48">
        <f t="shared" si="82"/>
        <v>71861400</v>
      </c>
      <c r="M41" s="136">
        <v>820000</v>
      </c>
      <c r="N41" s="48">
        <f t="shared" si="83"/>
        <v>90200</v>
      </c>
      <c r="O41" s="48">
        <f t="shared" si="84"/>
        <v>910200</v>
      </c>
      <c r="P41" s="48">
        <f t="shared" si="85"/>
        <v>70995600</v>
      </c>
      <c r="Q41" s="142">
        <v>790000</v>
      </c>
      <c r="R41" s="48">
        <f t="shared" si="61"/>
        <v>86900</v>
      </c>
      <c r="S41" s="48">
        <f t="shared" si="62"/>
        <v>876900</v>
      </c>
      <c r="T41" s="48">
        <f t="shared" si="63"/>
        <v>68398200</v>
      </c>
      <c r="U41" s="85">
        <f>G41*(I41-M41)</f>
        <v>780000</v>
      </c>
      <c r="V41" s="85">
        <f t="shared" si="65"/>
        <v>30000</v>
      </c>
      <c r="W41" s="85">
        <f t="shared" si="66"/>
        <v>2340000</v>
      </c>
      <c r="X41" s="85">
        <v>0</v>
      </c>
      <c r="Y41" s="85">
        <f t="shared" si="67"/>
        <v>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</row>
    <row r="42" spans="1:43" s="143" customFormat="1" ht="21" hidden="1" customHeight="1">
      <c r="A42" s="46">
        <v>40</v>
      </c>
      <c r="B42" s="140">
        <v>46137</v>
      </c>
      <c r="C42" s="71" t="s">
        <v>35</v>
      </c>
      <c r="D42" s="71" t="s">
        <v>22</v>
      </c>
      <c r="E42" s="71" t="s">
        <v>53</v>
      </c>
      <c r="F42" s="71" t="s">
        <v>95</v>
      </c>
      <c r="G42" s="141">
        <v>6</v>
      </c>
      <c r="H42" s="71" t="s">
        <v>96</v>
      </c>
      <c r="I42" s="136">
        <v>880000</v>
      </c>
      <c r="J42" s="48">
        <f t="shared" ref="J42" si="86">I42*11%</f>
        <v>96800</v>
      </c>
      <c r="K42" s="48">
        <f t="shared" ref="K42" si="87">I42+J42</f>
        <v>976800</v>
      </c>
      <c r="L42" s="48">
        <f t="shared" ref="L42" si="88">K42*G42</f>
        <v>5860800</v>
      </c>
      <c r="M42" s="136">
        <v>880000</v>
      </c>
      <c r="N42" s="48">
        <f t="shared" ref="N42" si="89">M42*11%</f>
        <v>96800</v>
      </c>
      <c r="O42" s="48">
        <f t="shared" ref="O42" si="90">M42+N42</f>
        <v>976800</v>
      </c>
      <c r="P42" s="48">
        <f t="shared" ref="P42" si="91">O42*G42</f>
        <v>5860800</v>
      </c>
      <c r="Q42" s="142">
        <v>860000</v>
      </c>
      <c r="R42" s="48">
        <f t="shared" si="61"/>
        <v>94600</v>
      </c>
      <c r="S42" s="48">
        <f t="shared" si="62"/>
        <v>954600</v>
      </c>
      <c r="T42" s="48">
        <f t="shared" si="63"/>
        <v>5727600</v>
      </c>
      <c r="U42" s="85">
        <f t="shared" si="64"/>
        <v>0</v>
      </c>
      <c r="V42" s="85">
        <f t="shared" si="65"/>
        <v>20000</v>
      </c>
      <c r="W42" s="85">
        <f t="shared" si="66"/>
        <v>120000</v>
      </c>
      <c r="X42" s="85">
        <v>0</v>
      </c>
      <c r="Y42" s="85">
        <f t="shared" si="67"/>
        <v>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</row>
    <row r="43" spans="1:43" s="143" customFormat="1" ht="21" hidden="1" customHeight="1">
      <c r="A43" s="139">
        <v>41</v>
      </c>
      <c r="B43" s="140">
        <v>46139</v>
      </c>
      <c r="C43" s="71" t="s">
        <v>35</v>
      </c>
      <c r="D43" s="71" t="s">
        <v>22</v>
      </c>
      <c r="E43" s="71" t="s">
        <v>53</v>
      </c>
      <c r="F43" s="71" t="s">
        <v>95</v>
      </c>
      <c r="G43" s="141">
        <v>6</v>
      </c>
      <c r="H43" s="71" t="s">
        <v>96</v>
      </c>
      <c r="I43" s="136">
        <v>880000</v>
      </c>
      <c r="J43" s="48">
        <f t="shared" ref="J43:J44" si="92">I43*11%</f>
        <v>96800</v>
      </c>
      <c r="K43" s="48">
        <f t="shared" ref="K43:K44" si="93">I43+J43</f>
        <v>976800</v>
      </c>
      <c r="L43" s="48">
        <f t="shared" ref="L43:L44" si="94">K43*G43</f>
        <v>5860800</v>
      </c>
      <c r="M43" s="136">
        <v>880000</v>
      </c>
      <c r="N43" s="48">
        <f t="shared" ref="N43:N44" si="95">M43*11%</f>
        <v>96800</v>
      </c>
      <c r="O43" s="48">
        <f t="shared" ref="O43:O44" si="96">M43+N43</f>
        <v>976800</v>
      </c>
      <c r="P43" s="48">
        <f t="shared" ref="P43:P44" si="97">O43*G43</f>
        <v>5860800</v>
      </c>
      <c r="Q43" s="142">
        <v>860000</v>
      </c>
      <c r="R43" s="48">
        <f t="shared" si="61"/>
        <v>94600</v>
      </c>
      <c r="S43" s="48">
        <f t="shared" si="62"/>
        <v>954600</v>
      </c>
      <c r="T43" s="48">
        <f t="shared" si="63"/>
        <v>5727600</v>
      </c>
      <c r="U43" s="85">
        <v>0</v>
      </c>
      <c r="V43" s="85">
        <f t="shared" si="65"/>
        <v>20000</v>
      </c>
      <c r="W43" s="85">
        <f t="shared" si="66"/>
        <v>120000</v>
      </c>
      <c r="X43" s="85">
        <v>0</v>
      </c>
      <c r="Y43" s="85">
        <f t="shared" si="67"/>
        <v>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</row>
    <row r="44" spans="1:43" s="143" customFormat="1" ht="21" hidden="1" customHeight="1">
      <c r="A44" s="46">
        <v>42</v>
      </c>
      <c r="B44" s="140">
        <v>46140</v>
      </c>
      <c r="C44" s="71" t="s">
        <v>35</v>
      </c>
      <c r="D44" s="71" t="s">
        <v>22</v>
      </c>
      <c r="E44" s="71" t="s">
        <v>53</v>
      </c>
      <c r="F44" s="71" t="s">
        <v>95</v>
      </c>
      <c r="G44" s="141">
        <v>6</v>
      </c>
      <c r="H44" s="71" t="s">
        <v>96</v>
      </c>
      <c r="I44" s="136">
        <v>880000</v>
      </c>
      <c r="J44" s="48">
        <f t="shared" si="92"/>
        <v>96800</v>
      </c>
      <c r="K44" s="48">
        <f t="shared" si="93"/>
        <v>976800</v>
      </c>
      <c r="L44" s="48">
        <f t="shared" si="94"/>
        <v>5860800</v>
      </c>
      <c r="M44" s="136">
        <v>880000</v>
      </c>
      <c r="N44" s="48">
        <f t="shared" si="95"/>
        <v>96800</v>
      </c>
      <c r="O44" s="48">
        <f t="shared" si="96"/>
        <v>976800</v>
      </c>
      <c r="P44" s="48">
        <f t="shared" si="97"/>
        <v>5860800</v>
      </c>
      <c r="Q44" s="142">
        <v>860000</v>
      </c>
      <c r="R44" s="48">
        <f t="shared" si="61"/>
        <v>94600</v>
      </c>
      <c r="S44" s="48">
        <f t="shared" si="62"/>
        <v>954600</v>
      </c>
      <c r="T44" s="48">
        <f t="shared" si="63"/>
        <v>5727600</v>
      </c>
      <c r="U44" s="85">
        <v>0</v>
      </c>
      <c r="V44" s="85">
        <f t="shared" si="65"/>
        <v>20000</v>
      </c>
      <c r="W44" s="85">
        <f t="shared" si="66"/>
        <v>120000</v>
      </c>
      <c r="X44" s="85">
        <v>0</v>
      </c>
      <c r="Y44" s="85">
        <f t="shared" si="67"/>
        <v>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</row>
    <row r="45" spans="1:43" s="143" customFormat="1" ht="21" hidden="1" customHeight="1">
      <c r="A45" s="139">
        <v>43</v>
      </c>
      <c r="B45" s="140">
        <v>46141</v>
      </c>
      <c r="C45" s="71" t="s">
        <v>35</v>
      </c>
      <c r="D45" s="71" t="s">
        <v>22</v>
      </c>
      <c r="E45" s="71" t="s">
        <v>53</v>
      </c>
      <c r="F45" s="71" t="s">
        <v>95</v>
      </c>
      <c r="G45" s="141">
        <v>6</v>
      </c>
      <c r="H45" s="71" t="s">
        <v>96</v>
      </c>
      <c r="I45" s="136">
        <v>880000</v>
      </c>
      <c r="J45" s="48">
        <f t="shared" si="80"/>
        <v>96800</v>
      </c>
      <c r="K45" s="48">
        <f t="shared" si="81"/>
        <v>976800</v>
      </c>
      <c r="L45" s="48">
        <f t="shared" si="82"/>
        <v>5860800</v>
      </c>
      <c r="M45" s="136">
        <v>880000</v>
      </c>
      <c r="N45" s="48">
        <f t="shared" si="83"/>
        <v>96800</v>
      </c>
      <c r="O45" s="48">
        <f t="shared" si="84"/>
        <v>976800</v>
      </c>
      <c r="P45" s="48">
        <f t="shared" si="85"/>
        <v>5860800</v>
      </c>
      <c r="Q45" s="142">
        <v>860000</v>
      </c>
      <c r="R45" s="48">
        <f t="shared" si="61"/>
        <v>94600</v>
      </c>
      <c r="S45" s="48">
        <f t="shared" si="62"/>
        <v>954600</v>
      </c>
      <c r="T45" s="48">
        <f t="shared" si="63"/>
        <v>5727600</v>
      </c>
      <c r="U45" s="85">
        <f t="shared" si="64"/>
        <v>0</v>
      </c>
      <c r="V45" s="85">
        <f t="shared" si="65"/>
        <v>20000</v>
      </c>
      <c r="W45" s="85">
        <f t="shared" si="66"/>
        <v>120000</v>
      </c>
      <c r="X45" s="85">
        <v>0</v>
      </c>
      <c r="Y45" s="85">
        <f t="shared" si="67"/>
        <v>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</row>
    <row r="46" spans="1:43" s="143" customFormat="1" ht="21" customHeight="1">
      <c r="A46" s="46">
        <v>44</v>
      </c>
      <c r="B46" s="140">
        <v>46142</v>
      </c>
      <c r="C46" s="71" t="s">
        <v>35</v>
      </c>
      <c r="D46" s="71" t="s">
        <v>39</v>
      </c>
      <c r="E46" s="71" t="s">
        <v>103</v>
      </c>
      <c r="F46" s="71" t="s">
        <v>103</v>
      </c>
      <c r="G46" s="136">
        <v>22</v>
      </c>
      <c r="H46" s="71" t="s">
        <v>26</v>
      </c>
      <c r="I46" s="136">
        <v>745000</v>
      </c>
      <c r="J46" s="48">
        <f t="shared" si="80"/>
        <v>81950</v>
      </c>
      <c r="K46" s="48">
        <f t="shared" si="81"/>
        <v>826950</v>
      </c>
      <c r="L46" s="48">
        <f t="shared" si="82"/>
        <v>18192900</v>
      </c>
      <c r="M46" s="136">
        <v>745000</v>
      </c>
      <c r="N46" s="48">
        <f t="shared" si="83"/>
        <v>81950</v>
      </c>
      <c r="O46" s="48">
        <f t="shared" si="84"/>
        <v>826950</v>
      </c>
      <c r="P46" s="48">
        <f t="shared" si="85"/>
        <v>18192900</v>
      </c>
      <c r="Q46" s="142">
        <v>710000</v>
      </c>
      <c r="R46" s="48">
        <f t="shared" si="61"/>
        <v>78100</v>
      </c>
      <c r="S46" s="48">
        <f t="shared" si="62"/>
        <v>788100</v>
      </c>
      <c r="T46" s="48">
        <f t="shared" si="63"/>
        <v>17338200</v>
      </c>
      <c r="U46" s="85">
        <f t="shared" si="64"/>
        <v>0</v>
      </c>
      <c r="V46" s="85">
        <f t="shared" si="65"/>
        <v>35000</v>
      </c>
      <c r="W46" s="85">
        <f t="shared" si="66"/>
        <v>770000</v>
      </c>
      <c r="X46" s="85">
        <v>0</v>
      </c>
      <c r="Y46" s="85">
        <f t="shared" si="67"/>
        <v>0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</row>
    <row r="47" spans="1:43" s="143" customFormat="1" ht="21" hidden="1" customHeight="1">
      <c r="A47" s="139">
        <v>45</v>
      </c>
      <c r="B47" s="140">
        <v>46142</v>
      </c>
      <c r="C47" s="71" t="s">
        <v>35</v>
      </c>
      <c r="D47" s="71" t="s">
        <v>22</v>
      </c>
      <c r="E47" s="71" t="s">
        <v>53</v>
      </c>
      <c r="F47" s="71" t="s">
        <v>95</v>
      </c>
      <c r="G47" s="141">
        <v>6</v>
      </c>
      <c r="H47" s="71" t="s">
        <v>96</v>
      </c>
      <c r="I47" s="136">
        <v>880000</v>
      </c>
      <c r="J47" s="48">
        <f t="shared" ref="J47" si="98">I47*11%</f>
        <v>96800</v>
      </c>
      <c r="K47" s="48">
        <f t="shared" ref="K47" si="99">I47+J47</f>
        <v>976800</v>
      </c>
      <c r="L47" s="48">
        <f t="shared" ref="L47" si="100">K47*G47</f>
        <v>5860800</v>
      </c>
      <c r="M47" s="136">
        <v>880000</v>
      </c>
      <c r="N47" s="48">
        <f t="shared" ref="N47" si="101">M47*11%</f>
        <v>96800</v>
      </c>
      <c r="O47" s="48">
        <f t="shared" ref="O47" si="102">M47+N47</f>
        <v>976800</v>
      </c>
      <c r="P47" s="48">
        <f t="shared" ref="P47" si="103">O47*G47</f>
        <v>5860800</v>
      </c>
      <c r="Q47" s="142">
        <v>860000</v>
      </c>
      <c r="R47" s="48">
        <f t="shared" si="61"/>
        <v>94600</v>
      </c>
      <c r="S47" s="48">
        <f t="shared" si="62"/>
        <v>954600</v>
      </c>
      <c r="T47" s="48">
        <f t="shared" si="63"/>
        <v>5727600</v>
      </c>
      <c r="U47" s="85">
        <v>0</v>
      </c>
      <c r="V47" s="85">
        <f t="shared" si="65"/>
        <v>20000</v>
      </c>
      <c r="W47" s="85">
        <f t="shared" si="66"/>
        <v>120000</v>
      </c>
      <c r="X47" s="85">
        <v>0</v>
      </c>
      <c r="Y47" s="85">
        <f t="shared" si="67"/>
        <v>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</row>
    <row r="48" spans="1:43" s="143" customFormat="1" ht="21" customHeight="1">
      <c r="A48" s="46">
        <v>46</v>
      </c>
      <c r="B48" s="140">
        <v>46142</v>
      </c>
      <c r="C48" s="71" t="s">
        <v>35</v>
      </c>
      <c r="D48" s="38" t="s">
        <v>39</v>
      </c>
      <c r="E48" s="71" t="s">
        <v>114</v>
      </c>
      <c r="F48" s="38" t="s">
        <v>115</v>
      </c>
      <c r="G48" s="136">
        <v>35</v>
      </c>
      <c r="H48" s="71" t="s">
        <v>25</v>
      </c>
      <c r="I48" s="136">
        <f>870000/1.11</f>
        <v>783783.78378378367</v>
      </c>
      <c r="J48" s="48">
        <f t="shared" si="80"/>
        <v>86216.216216216199</v>
      </c>
      <c r="K48" s="48">
        <f t="shared" si="81"/>
        <v>869999.99999999988</v>
      </c>
      <c r="L48" s="48">
        <f t="shared" si="82"/>
        <v>30449999.999999996</v>
      </c>
      <c r="M48" s="136">
        <f>870000/1.11</f>
        <v>783783.78378378367</v>
      </c>
      <c r="N48" s="48">
        <f t="shared" si="83"/>
        <v>86216.216216216199</v>
      </c>
      <c r="O48" s="48">
        <f t="shared" si="84"/>
        <v>869999.99999999988</v>
      </c>
      <c r="P48" s="48">
        <f t="shared" si="85"/>
        <v>30449999.999999996</v>
      </c>
      <c r="Q48" s="142">
        <v>750000</v>
      </c>
      <c r="R48" s="48">
        <f t="shared" si="61"/>
        <v>82500</v>
      </c>
      <c r="S48" s="48">
        <f t="shared" si="62"/>
        <v>832500</v>
      </c>
      <c r="T48" s="48">
        <f t="shared" si="63"/>
        <v>29137500</v>
      </c>
      <c r="U48" s="85">
        <f t="shared" si="64"/>
        <v>0</v>
      </c>
      <c r="V48" s="85">
        <f t="shared" si="65"/>
        <v>33783.783783783671</v>
      </c>
      <c r="W48" s="85">
        <f t="shared" si="66"/>
        <v>1182432.4324324285</v>
      </c>
      <c r="X48" s="85">
        <v>0</v>
      </c>
      <c r="Y48" s="85">
        <f t="shared" si="67"/>
        <v>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</row>
    <row r="49" spans="1:44" s="143" customFormat="1" ht="21" hidden="1" customHeight="1">
      <c r="A49" s="164">
        <v>47</v>
      </c>
      <c r="B49" s="165">
        <v>46130</v>
      </c>
      <c r="C49" s="166" t="s">
        <v>35</v>
      </c>
      <c r="D49" s="167" t="s">
        <v>22</v>
      </c>
      <c r="E49" s="167" t="s">
        <v>133</v>
      </c>
      <c r="F49" s="167" t="s">
        <v>134</v>
      </c>
      <c r="G49" s="168">
        <v>39</v>
      </c>
      <c r="H49" s="166" t="s">
        <v>135</v>
      </c>
      <c r="I49" s="136">
        <f>103950/1.11</f>
        <v>93648.648648648639</v>
      </c>
      <c r="J49" s="48">
        <f t="shared" si="80"/>
        <v>10301.35135135135</v>
      </c>
      <c r="K49" s="48">
        <f t="shared" si="81"/>
        <v>103949.99999999999</v>
      </c>
      <c r="L49" s="48">
        <f t="shared" si="82"/>
        <v>4054049.9999999995</v>
      </c>
      <c r="M49" s="136">
        <f>87100/1.11</f>
        <v>78468.468468468462</v>
      </c>
      <c r="N49" s="48">
        <f t="shared" si="83"/>
        <v>8631.5315315315311</v>
      </c>
      <c r="O49" s="48">
        <f t="shared" si="84"/>
        <v>87100</v>
      </c>
      <c r="P49" s="48">
        <f t="shared" si="85"/>
        <v>3396900</v>
      </c>
      <c r="Q49" s="136">
        <f>79100/1.11</f>
        <v>71261.261261261257</v>
      </c>
      <c r="R49" s="48">
        <f t="shared" si="61"/>
        <v>7838.738738738738</v>
      </c>
      <c r="S49" s="48">
        <f t="shared" si="62"/>
        <v>79100</v>
      </c>
      <c r="T49" s="48">
        <f t="shared" si="63"/>
        <v>3084900</v>
      </c>
      <c r="U49" s="85">
        <f t="shared" si="64"/>
        <v>592027.02702702698</v>
      </c>
      <c r="V49" s="85">
        <f t="shared" si="65"/>
        <v>7207.2072072072042</v>
      </c>
      <c r="W49" s="85">
        <f t="shared" si="66"/>
        <v>281081.08108108095</v>
      </c>
      <c r="X49" s="85">
        <v>2000</v>
      </c>
      <c r="Y49" s="85">
        <f t="shared" si="67"/>
        <v>78000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</row>
    <row r="50" spans="1:44" s="143" customFormat="1" ht="21" hidden="1" customHeight="1">
      <c r="A50" s="46">
        <v>48</v>
      </c>
      <c r="B50" s="140"/>
      <c r="C50" s="71" t="s">
        <v>35</v>
      </c>
      <c r="D50" s="38"/>
      <c r="E50" s="38"/>
      <c r="F50" s="38"/>
      <c r="G50" s="136"/>
      <c r="H50" s="71"/>
      <c r="I50" s="136"/>
      <c r="J50" s="48">
        <f t="shared" si="80"/>
        <v>0</v>
      </c>
      <c r="K50" s="48">
        <f t="shared" si="81"/>
        <v>0</v>
      </c>
      <c r="L50" s="48">
        <f t="shared" si="82"/>
        <v>0</v>
      </c>
      <c r="M50" s="136"/>
      <c r="N50" s="48">
        <f t="shared" si="83"/>
        <v>0</v>
      </c>
      <c r="O50" s="48">
        <f t="shared" si="84"/>
        <v>0</v>
      </c>
      <c r="P50" s="48">
        <f t="shared" si="85"/>
        <v>0</v>
      </c>
      <c r="Q50" s="136"/>
      <c r="R50" s="48">
        <f t="shared" si="61"/>
        <v>0</v>
      </c>
      <c r="S50" s="48">
        <f t="shared" si="62"/>
        <v>0</v>
      </c>
      <c r="T50" s="48">
        <f t="shared" si="63"/>
        <v>0</v>
      </c>
      <c r="U50" s="85">
        <f t="shared" si="64"/>
        <v>0</v>
      </c>
      <c r="V50" s="85">
        <f t="shared" si="65"/>
        <v>0</v>
      </c>
      <c r="W50" s="85">
        <f t="shared" si="66"/>
        <v>0</v>
      </c>
      <c r="X50" s="85">
        <v>0</v>
      </c>
      <c r="Y50" s="85">
        <f t="shared" si="67"/>
        <v>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</row>
    <row r="51" spans="1:44" s="143" customFormat="1" ht="21" hidden="1" customHeight="1">
      <c r="A51" s="139">
        <v>49</v>
      </c>
      <c r="B51" s="140"/>
      <c r="C51" s="71" t="s">
        <v>35</v>
      </c>
      <c r="D51" s="38"/>
      <c r="E51" s="71"/>
      <c r="F51" s="38"/>
      <c r="G51" s="136"/>
      <c r="H51" s="71"/>
      <c r="I51" s="136"/>
      <c r="J51" s="48">
        <f t="shared" si="80"/>
        <v>0</v>
      </c>
      <c r="K51" s="48">
        <f t="shared" si="81"/>
        <v>0</v>
      </c>
      <c r="L51" s="48">
        <f t="shared" si="82"/>
        <v>0</v>
      </c>
      <c r="M51" s="136"/>
      <c r="N51" s="48">
        <f t="shared" si="83"/>
        <v>0</v>
      </c>
      <c r="O51" s="48">
        <f t="shared" si="84"/>
        <v>0</v>
      </c>
      <c r="P51" s="48">
        <f t="shared" si="85"/>
        <v>0</v>
      </c>
      <c r="Q51" s="136"/>
      <c r="R51" s="48">
        <f t="shared" si="61"/>
        <v>0</v>
      </c>
      <c r="S51" s="48">
        <f t="shared" si="62"/>
        <v>0</v>
      </c>
      <c r="T51" s="48">
        <f t="shared" si="63"/>
        <v>0</v>
      </c>
      <c r="U51" s="85">
        <f t="shared" si="64"/>
        <v>0</v>
      </c>
      <c r="V51" s="85">
        <f t="shared" si="65"/>
        <v>0</v>
      </c>
      <c r="W51" s="85">
        <f t="shared" si="66"/>
        <v>0</v>
      </c>
      <c r="X51" s="85">
        <v>0</v>
      </c>
      <c r="Y51" s="85">
        <f t="shared" si="67"/>
        <v>0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</row>
    <row r="52" spans="1:44" s="143" customFormat="1" ht="21" hidden="1" customHeight="1">
      <c r="A52" s="46">
        <v>50</v>
      </c>
      <c r="B52" s="140"/>
      <c r="C52" s="71" t="s">
        <v>35</v>
      </c>
      <c r="D52" s="38"/>
      <c r="E52" s="38"/>
      <c r="F52" s="38"/>
      <c r="G52" s="136"/>
      <c r="H52" s="71"/>
      <c r="I52" s="136"/>
      <c r="J52" s="48">
        <f t="shared" si="80"/>
        <v>0</v>
      </c>
      <c r="K52" s="48">
        <f t="shared" si="81"/>
        <v>0</v>
      </c>
      <c r="L52" s="48">
        <f t="shared" si="82"/>
        <v>0</v>
      </c>
      <c r="M52" s="136"/>
      <c r="N52" s="48">
        <f t="shared" si="83"/>
        <v>0</v>
      </c>
      <c r="O52" s="48">
        <f t="shared" si="84"/>
        <v>0</v>
      </c>
      <c r="P52" s="48">
        <f t="shared" si="85"/>
        <v>0</v>
      </c>
      <c r="Q52" s="136"/>
      <c r="R52" s="48">
        <f t="shared" si="61"/>
        <v>0</v>
      </c>
      <c r="S52" s="48">
        <f t="shared" si="62"/>
        <v>0</v>
      </c>
      <c r="T52" s="48">
        <f t="shared" si="63"/>
        <v>0</v>
      </c>
      <c r="U52" s="85">
        <f t="shared" si="64"/>
        <v>0</v>
      </c>
      <c r="V52" s="85">
        <f t="shared" si="65"/>
        <v>0</v>
      </c>
      <c r="W52" s="85">
        <f t="shared" si="66"/>
        <v>0</v>
      </c>
      <c r="X52" s="85">
        <v>0</v>
      </c>
      <c r="Y52" s="85">
        <f t="shared" si="67"/>
        <v>0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</row>
    <row r="53" spans="1:44" s="143" customFormat="1" ht="21" customHeight="1">
      <c r="A53" s="46"/>
      <c r="B53" s="140"/>
      <c r="C53" s="38"/>
      <c r="D53" s="38"/>
      <c r="E53" s="38"/>
      <c r="F53" s="38"/>
      <c r="G53" s="136"/>
      <c r="H53" s="71"/>
      <c r="I53" s="136"/>
      <c r="J53" s="48"/>
      <c r="K53" s="48"/>
      <c r="L53" s="48"/>
      <c r="M53" s="136"/>
      <c r="N53" s="48"/>
      <c r="O53" s="48"/>
      <c r="P53" s="48"/>
      <c r="Q53" s="136"/>
      <c r="R53" s="48"/>
      <c r="S53" s="48"/>
      <c r="T53" s="48"/>
      <c r="U53" s="85"/>
      <c r="V53" s="85"/>
      <c r="W53" s="85"/>
      <c r="X53" s="144"/>
      <c r="Y53" s="145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  <row r="54" spans="1:44" s="143" customFormat="1" ht="21" customHeight="1" thickBot="1">
      <c r="A54" s="46"/>
      <c r="B54" s="135"/>
      <c r="C54" s="38"/>
      <c r="D54" s="38"/>
      <c r="E54" s="38"/>
      <c r="F54" s="38"/>
      <c r="G54" s="136"/>
      <c r="H54" s="71"/>
      <c r="I54" s="136"/>
      <c r="J54" s="48"/>
      <c r="K54" s="48"/>
      <c r="L54" s="48"/>
      <c r="M54" s="136"/>
      <c r="N54" s="48"/>
      <c r="O54" s="48"/>
      <c r="P54" s="48"/>
      <c r="Q54" s="136"/>
      <c r="R54" s="48"/>
      <c r="S54" s="48"/>
      <c r="T54" s="48"/>
      <c r="U54" s="85"/>
      <c r="V54" s="85"/>
      <c r="W54" s="85"/>
      <c r="X54" s="144"/>
      <c r="Y54" s="145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</row>
    <row r="55" spans="1:44" s="143" customFormat="1" ht="21" customHeight="1" thickBot="1">
      <c r="A55" s="43"/>
      <c r="B55" s="43" t="s">
        <v>11</v>
      </c>
      <c r="C55" s="43"/>
      <c r="D55" s="43"/>
      <c r="E55" s="44"/>
      <c r="F55" s="44"/>
      <c r="G55" s="80">
        <f>SUM(G3:G54)</f>
        <v>1324.5</v>
      </c>
      <c r="H55" s="81"/>
      <c r="I55" s="80"/>
      <c r="J55" s="82"/>
      <c r="K55" s="82"/>
      <c r="L55" s="82">
        <f>SUM(L3:L54)</f>
        <v>1132441125</v>
      </c>
      <c r="M55" s="80"/>
      <c r="N55" s="82"/>
      <c r="O55" s="82"/>
      <c r="P55" s="82">
        <f>SUM(P3:P54)</f>
        <v>1126433775</v>
      </c>
      <c r="Q55" s="80"/>
      <c r="R55" s="82"/>
      <c r="S55" s="82"/>
      <c r="T55" s="82">
        <f>SUM(T3:T54)</f>
        <v>1082337900</v>
      </c>
      <c r="U55" s="82">
        <f>SUM(U3:U54)</f>
        <v>3972027.0270270268</v>
      </c>
      <c r="V55" s="82"/>
      <c r="W55" s="82">
        <f>SUM(W3:W54)</f>
        <v>39726013.513513505</v>
      </c>
      <c r="X55" s="83">
        <f>W55/G55</f>
        <v>29993.215185740661</v>
      </c>
      <c r="Y55" s="82">
        <f>SUBTOTAL(9,Y4:Y54)</f>
        <v>1260000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</row>
    <row r="56" spans="1:44" s="4" customFormat="1">
      <c r="A56" s="1"/>
      <c r="B56" s="1"/>
      <c r="C56" s="1"/>
      <c r="D56" s="1"/>
      <c r="F56" s="18"/>
      <c r="Q56" s="16"/>
      <c r="S56" s="15"/>
    </row>
    <row r="57" spans="1:44" s="4" customFormat="1">
      <c r="A57" s="1"/>
      <c r="B57" s="1"/>
      <c r="C57" s="1"/>
      <c r="D57" s="1"/>
      <c r="F57" s="18"/>
      <c r="Q57" s="16"/>
      <c r="S57" s="15"/>
    </row>
    <row r="58" spans="1:44" s="4" customFormat="1">
      <c r="A58" s="1"/>
      <c r="B58" s="1"/>
      <c r="C58" s="1"/>
      <c r="D58" s="1"/>
      <c r="F58" s="18"/>
      <c r="Q58" s="16"/>
      <c r="S58" s="15"/>
    </row>
    <row r="59" spans="1:44" s="4" customFormat="1">
      <c r="A59" s="1"/>
      <c r="B59" s="1"/>
      <c r="C59" s="1"/>
      <c r="D59" s="1"/>
      <c r="F59" s="18"/>
      <c r="Q59" s="16"/>
      <c r="S59" s="15"/>
    </row>
    <row r="60" spans="1:44" s="4" customFormat="1">
      <c r="A60" s="1"/>
      <c r="B60" s="1"/>
      <c r="C60" s="1"/>
      <c r="D60" s="1"/>
      <c r="Q60" s="17"/>
    </row>
    <row r="61" spans="1:44" s="4" customFormat="1">
      <c r="A61" s="1"/>
      <c r="B61" s="1"/>
      <c r="C61" s="1"/>
      <c r="D61" s="1"/>
    </row>
    <row r="62" spans="1:44" s="4" customFormat="1">
      <c r="A62" s="1"/>
      <c r="B62" s="1"/>
      <c r="C62" s="1"/>
      <c r="D62" s="1"/>
    </row>
    <row r="63" spans="1:44" s="4" customFormat="1">
      <c r="A63" s="1"/>
      <c r="B63" s="1"/>
      <c r="C63" s="1"/>
      <c r="D63" s="1"/>
    </row>
    <row r="64" spans="1:44" s="4" customFormat="1">
      <c r="A64" s="1"/>
      <c r="B64" s="1"/>
      <c r="C64" s="1"/>
      <c r="D64" s="1"/>
    </row>
    <row r="65" spans="1:4" s="4" customFormat="1">
      <c r="A65" s="1"/>
      <c r="B65" s="1"/>
      <c r="C65" s="1"/>
      <c r="D65" s="1"/>
    </row>
    <row r="66" spans="1:4">
      <c r="A66" s="1"/>
      <c r="B66" s="1"/>
    </row>
  </sheetData>
  <autoFilter ref="A2:Y52" xr:uid="{00000000-0001-0000-0300-000000000000}">
    <filterColumn colId="3">
      <filters>
        <filter val="Prapto"/>
      </filters>
    </filterColumn>
  </autoFilter>
  <mergeCells count="1">
    <mergeCell ref="A1:H1"/>
  </mergeCells>
  <phoneticPr fontId="11" type="noConversion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S36"/>
  <sheetViews>
    <sheetView view="pageBreakPreview" zoomScale="70" zoomScaleNormal="100" zoomScaleSheetLayoutView="70" workbookViewId="0">
      <pane xSplit="8" ySplit="2" topLeftCell="R3" activePane="bottomRight" state="frozen"/>
      <selection pane="topRight" activeCell="G1" sqref="G1"/>
      <selection pane="bottomLeft" activeCell="A11" sqref="A11"/>
      <selection pane="bottomRight" activeCell="U7" sqref="U7"/>
    </sheetView>
  </sheetViews>
  <sheetFormatPr defaultColWidth="9.109375" defaultRowHeight="13.8"/>
  <cols>
    <col min="1" max="1" width="5.77734375" style="2" customWidth="1"/>
    <col min="2" max="2" width="10.77734375" style="2" customWidth="1"/>
    <col min="3" max="3" width="14.77734375" style="19" customWidth="1"/>
    <col min="4" max="4" width="13.77734375" style="19" customWidth="1"/>
    <col min="5" max="5" width="30.77734375" style="2" customWidth="1"/>
    <col min="6" max="6" width="50.77734375" style="2" customWidth="1"/>
    <col min="7" max="7" width="10.77734375" style="2" customWidth="1"/>
    <col min="8" max="8" width="14.77734375" style="2" customWidth="1"/>
    <col min="9" max="11" width="15.44140625" style="2" customWidth="1"/>
    <col min="12" max="12" width="16.77734375" style="2" customWidth="1"/>
    <col min="13" max="15" width="15.44140625" style="2" customWidth="1"/>
    <col min="16" max="16" width="16.77734375" style="2" customWidth="1"/>
    <col min="17" max="19" width="15.44140625" style="2" customWidth="1"/>
    <col min="20" max="20" width="16.77734375" style="2" customWidth="1"/>
    <col min="21" max="25" width="15.44140625" style="2" customWidth="1"/>
    <col min="26" max="16384" width="9.109375" style="2"/>
  </cols>
  <sheetData>
    <row r="1" spans="1:45" ht="24.6">
      <c r="A1" s="169" t="str">
        <f>MALANG!A1</f>
        <v>REKAP PENJUALAN SALES AJM APRIL 2026</v>
      </c>
      <c r="B1" s="169"/>
      <c r="C1" s="170"/>
      <c r="D1" s="170"/>
      <c r="E1" s="169"/>
      <c r="F1" s="169"/>
      <c r="G1" s="169"/>
      <c r="H1" s="169"/>
    </row>
    <row r="2" spans="1:45" s="3" customFormat="1" ht="59.25" customHeight="1">
      <c r="A2" s="5" t="s">
        <v>19</v>
      </c>
      <c r="B2" s="5" t="s">
        <v>20</v>
      </c>
      <c r="C2" s="6" t="s">
        <v>6</v>
      </c>
      <c r="D2" s="6" t="s">
        <v>4</v>
      </c>
      <c r="E2" s="6" t="s">
        <v>5</v>
      </c>
      <c r="F2" s="5" t="s">
        <v>0</v>
      </c>
      <c r="G2" s="6" t="s">
        <v>7</v>
      </c>
      <c r="H2" s="5" t="s">
        <v>1</v>
      </c>
      <c r="I2" s="7" t="s">
        <v>8</v>
      </c>
      <c r="J2" s="7" t="s">
        <v>10</v>
      </c>
      <c r="K2" s="8" t="s">
        <v>24</v>
      </c>
      <c r="L2" s="8" t="s">
        <v>12</v>
      </c>
      <c r="M2" s="9" t="s">
        <v>2</v>
      </c>
      <c r="N2" s="9" t="s">
        <v>10</v>
      </c>
      <c r="O2" s="10" t="s">
        <v>24</v>
      </c>
      <c r="P2" s="10" t="s">
        <v>13</v>
      </c>
      <c r="Q2" s="27" t="s">
        <v>33</v>
      </c>
      <c r="R2" s="12" t="s">
        <v>10</v>
      </c>
      <c r="S2" s="11" t="s">
        <v>24</v>
      </c>
      <c r="T2" s="27" t="s">
        <v>32</v>
      </c>
      <c r="U2" s="13" t="s">
        <v>9</v>
      </c>
      <c r="V2" s="7" t="s">
        <v>15</v>
      </c>
      <c r="W2" s="8" t="s">
        <v>14</v>
      </c>
      <c r="X2" s="8" t="s">
        <v>17</v>
      </c>
      <c r="Y2" s="8" t="s">
        <v>16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20" customFormat="1" ht="21" hidden="1" customHeight="1">
      <c r="A3" s="139">
        <v>1</v>
      </c>
      <c r="B3" s="135">
        <v>46120</v>
      </c>
      <c r="C3" s="146" t="s">
        <v>37</v>
      </c>
      <c r="D3" s="38" t="s">
        <v>21</v>
      </c>
      <c r="E3" s="71" t="s">
        <v>56</v>
      </c>
      <c r="F3" s="71" t="s">
        <v>57</v>
      </c>
      <c r="G3" s="141">
        <v>2.5</v>
      </c>
      <c r="H3" s="71" t="s">
        <v>25</v>
      </c>
      <c r="I3" s="85">
        <v>800000</v>
      </c>
      <c r="J3" s="85">
        <f t="shared" ref="J3:J22" si="0">I3*11%</f>
        <v>88000</v>
      </c>
      <c r="K3" s="85">
        <f t="shared" ref="K3:K22" si="1">I3+J3</f>
        <v>888000</v>
      </c>
      <c r="L3" s="85">
        <f t="shared" ref="L3:L22" si="2">K3*G3</f>
        <v>2220000</v>
      </c>
      <c r="M3" s="85">
        <v>800000</v>
      </c>
      <c r="N3" s="85">
        <f t="shared" ref="N3:N22" si="3">M3*11%</f>
        <v>88000</v>
      </c>
      <c r="O3" s="85">
        <f t="shared" ref="O3:O22" si="4">M3+N3</f>
        <v>888000</v>
      </c>
      <c r="P3" s="85">
        <f t="shared" ref="P3:P22" si="5">O3*G3</f>
        <v>2220000</v>
      </c>
      <c r="Q3" s="141">
        <v>740000</v>
      </c>
      <c r="R3" s="85">
        <f t="shared" ref="R3:R22" si="6">Q3*11%</f>
        <v>81400</v>
      </c>
      <c r="S3" s="85">
        <f t="shared" ref="S3:S22" si="7">Q3+R3</f>
        <v>821400</v>
      </c>
      <c r="T3" s="85">
        <f t="shared" ref="T3:T22" si="8">S3*G3</f>
        <v>2053500</v>
      </c>
      <c r="U3" s="85">
        <f>G3*(I3-M3)</f>
        <v>0</v>
      </c>
      <c r="V3" s="85">
        <f t="shared" ref="V3:V22" si="9">M3-Q3</f>
        <v>60000</v>
      </c>
      <c r="W3" s="85">
        <f t="shared" ref="W3:W22" si="10">G3*V3</f>
        <v>150000</v>
      </c>
      <c r="X3" s="48">
        <v>0</v>
      </c>
      <c r="Y3" s="48">
        <f>G3*X3</f>
        <v>0</v>
      </c>
    </row>
    <row r="4" spans="1:45" s="20" customFormat="1" ht="21" customHeight="1">
      <c r="A4" s="139">
        <v>2</v>
      </c>
      <c r="B4" s="135">
        <v>46123</v>
      </c>
      <c r="C4" s="146" t="s">
        <v>37</v>
      </c>
      <c r="D4" s="38" t="s">
        <v>2</v>
      </c>
      <c r="E4" s="71" t="s">
        <v>58</v>
      </c>
      <c r="F4" s="71" t="s">
        <v>59</v>
      </c>
      <c r="G4" s="141">
        <v>19</v>
      </c>
      <c r="H4" s="71" t="s">
        <v>25</v>
      </c>
      <c r="I4" s="85">
        <v>800000</v>
      </c>
      <c r="J4" s="85">
        <f t="shared" si="0"/>
        <v>88000</v>
      </c>
      <c r="K4" s="85">
        <f t="shared" si="1"/>
        <v>888000</v>
      </c>
      <c r="L4" s="85">
        <f t="shared" si="2"/>
        <v>16872000</v>
      </c>
      <c r="M4" s="85">
        <v>800000</v>
      </c>
      <c r="N4" s="85">
        <f t="shared" si="3"/>
        <v>88000</v>
      </c>
      <c r="O4" s="85">
        <f t="shared" si="4"/>
        <v>888000</v>
      </c>
      <c r="P4" s="85">
        <f t="shared" si="5"/>
        <v>16872000</v>
      </c>
      <c r="Q4" s="141">
        <v>720000</v>
      </c>
      <c r="R4" s="85">
        <f t="shared" si="6"/>
        <v>79200</v>
      </c>
      <c r="S4" s="85">
        <f t="shared" si="7"/>
        <v>799200</v>
      </c>
      <c r="T4" s="85">
        <f t="shared" si="8"/>
        <v>15184800</v>
      </c>
      <c r="U4" s="85">
        <f>G4*(I4-M4)</f>
        <v>0</v>
      </c>
      <c r="V4" s="85">
        <f t="shared" si="9"/>
        <v>80000</v>
      </c>
      <c r="W4" s="85">
        <f t="shared" si="10"/>
        <v>1520000</v>
      </c>
      <c r="X4" s="48">
        <v>0</v>
      </c>
      <c r="Y4" s="48">
        <f t="shared" ref="Y4:Y22" si="11">G4*X4</f>
        <v>0</v>
      </c>
    </row>
    <row r="5" spans="1:45" s="20" customFormat="1" ht="21" hidden="1" customHeight="1">
      <c r="A5" s="139">
        <v>3</v>
      </c>
      <c r="B5" s="135">
        <v>46127</v>
      </c>
      <c r="C5" s="146" t="s">
        <v>37</v>
      </c>
      <c r="D5" s="38" t="s">
        <v>23</v>
      </c>
      <c r="E5" s="71" t="s">
        <v>116</v>
      </c>
      <c r="F5" s="71" t="s">
        <v>117</v>
      </c>
      <c r="G5" s="141">
        <v>24</v>
      </c>
      <c r="H5" s="71" t="s">
        <v>25</v>
      </c>
      <c r="I5" s="85">
        <v>780000</v>
      </c>
      <c r="J5" s="85">
        <f t="shared" si="0"/>
        <v>85800</v>
      </c>
      <c r="K5" s="85">
        <f t="shared" si="1"/>
        <v>865800</v>
      </c>
      <c r="L5" s="85">
        <f t="shared" si="2"/>
        <v>20779200</v>
      </c>
      <c r="M5" s="85">
        <v>780000</v>
      </c>
      <c r="N5" s="85">
        <f t="shared" si="3"/>
        <v>85800</v>
      </c>
      <c r="O5" s="85">
        <f t="shared" si="4"/>
        <v>865800</v>
      </c>
      <c r="P5" s="85">
        <f t="shared" si="5"/>
        <v>20779200</v>
      </c>
      <c r="Q5" s="141">
        <v>733000</v>
      </c>
      <c r="R5" s="85">
        <f t="shared" si="6"/>
        <v>80630</v>
      </c>
      <c r="S5" s="85">
        <f t="shared" si="7"/>
        <v>813630</v>
      </c>
      <c r="T5" s="85">
        <f t="shared" si="8"/>
        <v>19527120</v>
      </c>
      <c r="U5" s="85">
        <v>0</v>
      </c>
      <c r="V5" s="85">
        <f t="shared" si="9"/>
        <v>47000</v>
      </c>
      <c r="W5" s="85">
        <f t="shared" si="10"/>
        <v>1128000</v>
      </c>
      <c r="X5" s="48">
        <v>5000</v>
      </c>
      <c r="Y5" s="48">
        <f t="shared" si="11"/>
        <v>120000</v>
      </c>
    </row>
    <row r="6" spans="1:45" s="20" customFormat="1" ht="21" hidden="1" customHeight="1">
      <c r="A6" s="139">
        <v>4</v>
      </c>
      <c r="B6" s="135">
        <v>46140</v>
      </c>
      <c r="C6" s="146" t="s">
        <v>37</v>
      </c>
      <c r="D6" s="38" t="s">
        <v>23</v>
      </c>
      <c r="E6" s="71" t="s">
        <v>118</v>
      </c>
      <c r="F6" s="71" t="s">
        <v>119</v>
      </c>
      <c r="G6" s="141">
        <v>6.5</v>
      </c>
      <c r="H6" s="71" t="s">
        <v>28</v>
      </c>
      <c r="I6" s="85">
        <f>920000/1.11</f>
        <v>828828.82882882876</v>
      </c>
      <c r="J6" s="48">
        <f t="shared" si="0"/>
        <v>91171.171171171169</v>
      </c>
      <c r="K6" s="48">
        <f t="shared" si="1"/>
        <v>919999.99999999988</v>
      </c>
      <c r="L6" s="48">
        <f t="shared" si="2"/>
        <v>5979999.9999999991</v>
      </c>
      <c r="M6" s="85">
        <f>920000/1.11</f>
        <v>828828.82882882876</v>
      </c>
      <c r="N6" s="48">
        <f t="shared" si="3"/>
        <v>91171.171171171169</v>
      </c>
      <c r="O6" s="48">
        <f t="shared" si="4"/>
        <v>919999.99999999988</v>
      </c>
      <c r="P6" s="48">
        <f t="shared" si="5"/>
        <v>5979999.9999999991</v>
      </c>
      <c r="Q6" s="141">
        <v>690000</v>
      </c>
      <c r="R6" s="48">
        <f t="shared" si="6"/>
        <v>75900</v>
      </c>
      <c r="S6" s="48">
        <f t="shared" si="7"/>
        <v>765900</v>
      </c>
      <c r="T6" s="48">
        <f t="shared" si="8"/>
        <v>4978350</v>
      </c>
      <c r="U6" s="85">
        <f t="shared" ref="U6:U17" si="12">G6*(I6-M6)</f>
        <v>0</v>
      </c>
      <c r="V6" s="85">
        <f t="shared" si="9"/>
        <v>138828.82882882876</v>
      </c>
      <c r="W6" s="85">
        <f t="shared" si="10"/>
        <v>902387.38738738699</v>
      </c>
      <c r="X6" s="48">
        <v>5000</v>
      </c>
      <c r="Y6" s="48">
        <f>G6*X6</f>
        <v>32500</v>
      </c>
    </row>
    <row r="7" spans="1:45" s="20" customFormat="1" ht="21" customHeight="1">
      <c r="A7" s="139">
        <v>5</v>
      </c>
      <c r="B7" s="135">
        <v>46142</v>
      </c>
      <c r="C7" s="146" t="s">
        <v>37</v>
      </c>
      <c r="D7" s="38" t="s">
        <v>2</v>
      </c>
      <c r="E7" s="71" t="s">
        <v>54</v>
      </c>
      <c r="F7" s="71" t="s">
        <v>55</v>
      </c>
      <c r="G7" s="141">
        <v>18</v>
      </c>
      <c r="H7" s="71" t="s">
        <v>28</v>
      </c>
      <c r="I7" s="85">
        <f>970000/1.11</f>
        <v>873873.87387387385</v>
      </c>
      <c r="J7" s="48">
        <f t="shared" si="0"/>
        <v>96126.126126126124</v>
      </c>
      <c r="K7" s="48">
        <f t="shared" si="1"/>
        <v>970000</v>
      </c>
      <c r="L7" s="48">
        <f t="shared" si="2"/>
        <v>17460000</v>
      </c>
      <c r="M7" s="85">
        <v>700000</v>
      </c>
      <c r="N7" s="48">
        <f t="shared" si="3"/>
        <v>77000</v>
      </c>
      <c r="O7" s="48">
        <f t="shared" si="4"/>
        <v>777000</v>
      </c>
      <c r="P7" s="48">
        <f t="shared" si="5"/>
        <v>13986000</v>
      </c>
      <c r="Q7" s="141">
        <v>675000</v>
      </c>
      <c r="R7" s="48">
        <f t="shared" si="6"/>
        <v>74250</v>
      </c>
      <c r="S7" s="48">
        <f t="shared" si="7"/>
        <v>749250</v>
      </c>
      <c r="T7" s="48">
        <f t="shared" si="8"/>
        <v>13486500</v>
      </c>
      <c r="U7" s="85">
        <f t="shared" si="12"/>
        <v>3129729.7297297292</v>
      </c>
      <c r="V7" s="85">
        <f t="shared" si="9"/>
        <v>25000</v>
      </c>
      <c r="W7" s="85">
        <f t="shared" si="10"/>
        <v>450000</v>
      </c>
      <c r="X7" s="48">
        <v>0</v>
      </c>
      <c r="Y7" s="48">
        <f t="shared" si="11"/>
        <v>0</v>
      </c>
    </row>
    <row r="8" spans="1:45" s="20" customFormat="1" ht="21" hidden="1" customHeight="1">
      <c r="A8" s="139">
        <v>6</v>
      </c>
      <c r="B8" s="135">
        <v>46142</v>
      </c>
      <c r="C8" s="146" t="s">
        <v>37</v>
      </c>
      <c r="D8" s="38" t="s">
        <v>23</v>
      </c>
      <c r="E8" s="71" t="s">
        <v>120</v>
      </c>
      <c r="F8" s="71" t="s">
        <v>121</v>
      </c>
      <c r="G8" s="141">
        <v>38</v>
      </c>
      <c r="H8" s="71" t="s">
        <v>27</v>
      </c>
      <c r="I8" s="85">
        <v>850000</v>
      </c>
      <c r="J8" s="48">
        <f t="shared" si="0"/>
        <v>93500</v>
      </c>
      <c r="K8" s="48">
        <f t="shared" si="1"/>
        <v>943500</v>
      </c>
      <c r="L8" s="48">
        <f t="shared" si="2"/>
        <v>35853000</v>
      </c>
      <c r="M8" s="85">
        <v>850000</v>
      </c>
      <c r="N8" s="48">
        <f t="shared" si="3"/>
        <v>93500</v>
      </c>
      <c r="O8" s="48">
        <f t="shared" si="4"/>
        <v>943500</v>
      </c>
      <c r="P8" s="48">
        <f t="shared" si="5"/>
        <v>35853000</v>
      </c>
      <c r="Q8" s="141">
        <v>770000</v>
      </c>
      <c r="R8" s="48">
        <f t="shared" si="6"/>
        <v>84700</v>
      </c>
      <c r="S8" s="48">
        <f t="shared" si="7"/>
        <v>854700</v>
      </c>
      <c r="T8" s="48">
        <f t="shared" si="8"/>
        <v>32478600</v>
      </c>
      <c r="U8" s="85">
        <f t="shared" si="12"/>
        <v>0</v>
      </c>
      <c r="V8" s="85">
        <f t="shared" si="9"/>
        <v>80000</v>
      </c>
      <c r="W8" s="85">
        <f t="shared" si="10"/>
        <v>3040000</v>
      </c>
      <c r="X8" s="48">
        <v>5000</v>
      </c>
      <c r="Y8" s="48">
        <f t="shared" si="11"/>
        <v>190000</v>
      </c>
    </row>
    <row r="9" spans="1:45" s="20" customFormat="1" ht="21" hidden="1" customHeight="1">
      <c r="A9" s="139">
        <v>7</v>
      </c>
      <c r="B9" s="135"/>
      <c r="C9" s="146" t="s">
        <v>37</v>
      </c>
      <c r="D9" s="38"/>
      <c r="E9" s="71"/>
      <c r="F9" s="71"/>
      <c r="G9" s="141"/>
      <c r="H9" s="71"/>
      <c r="I9" s="85"/>
      <c r="J9" s="48">
        <f t="shared" si="0"/>
        <v>0</v>
      </c>
      <c r="K9" s="48">
        <f t="shared" si="1"/>
        <v>0</v>
      </c>
      <c r="L9" s="48">
        <f t="shared" si="2"/>
        <v>0</v>
      </c>
      <c r="M9" s="85"/>
      <c r="N9" s="48">
        <f t="shared" si="3"/>
        <v>0</v>
      </c>
      <c r="O9" s="48">
        <f t="shared" si="4"/>
        <v>0</v>
      </c>
      <c r="P9" s="48">
        <f t="shared" si="5"/>
        <v>0</v>
      </c>
      <c r="Q9" s="141"/>
      <c r="R9" s="48">
        <f t="shared" si="6"/>
        <v>0</v>
      </c>
      <c r="S9" s="48">
        <f t="shared" si="7"/>
        <v>0</v>
      </c>
      <c r="T9" s="48">
        <f t="shared" si="8"/>
        <v>0</v>
      </c>
      <c r="U9" s="85">
        <f t="shared" si="12"/>
        <v>0</v>
      </c>
      <c r="V9" s="85">
        <f t="shared" si="9"/>
        <v>0</v>
      </c>
      <c r="W9" s="85">
        <f t="shared" si="10"/>
        <v>0</v>
      </c>
      <c r="X9" s="48">
        <v>0</v>
      </c>
      <c r="Y9" s="48">
        <f t="shared" si="11"/>
        <v>0</v>
      </c>
    </row>
    <row r="10" spans="1:45" s="20" customFormat="1" ht="21" hidden="1" customHeight="1">
      <c r="A10" s="139">
        <v>8</v>
      </c>
      <c r="B10" s="135"/>
      <c r="C10" s="146" t="s">
        <v>37</v>
      </c>
      <c r="D10" s="38"/>
      <c r="E10" s="71"/>
      <c r="F10" s="71"/>
      <c r="G10" s="141"/>
      <c r="H10" s="71"/>
      <c r="I10" s="85"/>
      <c r="J10" s="48">
        <f t="shared" si="0"/>
        <v>0</v>
      </c>
      <c r="K10" s="48">
        <f t="shared" si="1"/>
        <v>0</v>
      </c>
      <c r="L10" s="48">
        <f t="shared" si="2"/>
        <v>0</v>
      </c>
      <c r="M10" s="85"/>
      <c r="N10" s="48">
        <f t="shared" si="3"/>
        <v>0</v>
      </c>
      <c r="O10" s="48">
        <f t="shared" si="4"/>
        <v>0</v>
      </c>
      <c r="P10" s="48">
        <f t="shared" si="5"/>
        <v>0</v>
      </c>
      <c r="Q10" s="141"/>
      <c r="R10" s="48">
        <f t="shared" si="6"/>
        <v>0</v>
      </c>
      <c r="S10" s="48">
        <f t="shared" si="7"/>
        <v>0</v>
      </c>
      <c r="T10" s="48">
        <f t="shared" si="8"/>
        <v>0</v>
      </c>
      <c r="U10" s="85">
        <f t="shared" si="12"/>
        <v>0</v>
      </c>
      <c r="V10" s="85">
        <f t="shared" si="9"/>
        <v>0</v>
      </c>
      <c r="W10" s="85">
        <f t="shared" si="10"/>
        <v>0</v>
      </c>
      <c r="X10" s="48">
        <v>0</v>
      </c>
      <c r="Y10" s="48">
        <f t="shared" si="11"/>
        <v>0</v>
      </c>
    </row>
    <row r="11" spans="1:45" s="20" customFormat="1" ht="21" hidden="1" customHeight="1">
      <c r="A11" s="139">
        <v>9</v>
      </c>
      <c r="B11" s="135"/>
      <c r="C11" s="146" t="s">
        <v>37</v>
      </c>
      <c r="D11" s="38"/>
      <c r="E11" s="71"/>
      <c r="F11" s="71"/>
      <c r="G11" s="141"/>
      <c r="H11" s="71"/>
      <c r="I11" s="85"/>
      <c r="J11" s="48">
        <f t="shared" si="0"/>
        <v>0</v>
      </c>
      <c r="K11" s="48">
        <f t="shared" si="1"/>
        <v>0</v>
      </c>
      <c r="L11" s="48">
        <f t="shared" si="2"/>
        <v>0</v>
      </c>
      <c r="M11" s="85"/>
      <c r="N11" s="48">
        <f t="shared" si="3"/>
        <v>0</v>
      </c>
      <c r="O11" s="48">
        <f t="shared" si="4"/>
        <v>0</v>
      </c>
      <c r="P11" s="48">
        <f t="shared" si="5"/>
        <v>0</v>
      </c>
      <c r="Q11" s="141"/>
      <c r="R11" s="48">
        <f t="shared" si="6"/>
        <v>0</v>
      </c>
      <c r="S11" s="48">
        <f t="shared" si="7"/>
        <v>0</v>
      </c>
      <c r="T11" s="48">
        <f t="shared" si="8"/>
        <v>0</v>
      </c>
      <c r="U11" s="85">
        <f t="shared" si="12"/>
        <v>0</v>
      </c>
      <c r="V11" s="85">
        <f t="shared" si="9"/>
        <v>0</v>
      </c>
      <c r="W11" s="85">
        <f t="shared" si="10"/>
        <v>0</v>
      </c>
      <c r="X11" s="48">
        <v>0</v>
      </c>
      <c r="Y11" s="48">
        <f t="shared" si="11"/>
        <v>0</v>
      </c>
    </row>
    <row r="12" spans="1:45" s="20" customFormat="1" ht="21" hidden="1" customHeight="1">
      <c r="A12" s="139">
        <v>10</v>
      </c>
      <c r="B12" s="135"/>
      <c r="C12" s="146" t="s">
        <v>37</v>
      </c>
      <c r="D12" s="38"/>
      <c r="E12" s="71"/>
      <c r="F12" s="71"/>
      <c r="G12" s="141"/>
      <c r="H12" s="71"/>
      <c r="I12" s="85"/>
      <c r="J12" s="48">
        <f t="shared" si="0"/>
        <v>0</v>
      </c>
      <c r="K12" s="48">
        <f t="shared" si="1"/>
        <v>0</v>
      </c>
      <c r="L12" s="48">
        <f t="shared" si="2"/>
        <v>0</v>
      </c>
      <c r="M12" s="85"/>
      <c r="N12" s="48">
        <f t="shared" si="3"/>
        <v>0</v>
      </c>
      <c r="O12" s="48">
        <f t="shared" si="4"/>
        <v>0</v>
      </c>
      <c r="P12" s="48">
        <f t="shared" si="5"/>
        <v>0</v>
      </c>
      <c r="Q12" s="141"/>
      <c r="R12" s="48">
        <f t="shared" si="6"/>
        <v>0</v>
      </c>
      <c r="S12" s="48">
        <f t="shared" si="7"/>
        <v>0</v>
      </c>
      <c r="T12" s="48">
        <f t="shared" si="8"/>
        <v>0</v>
      </c>
      <c r="U12" s="85">
        <f t="shared" si="12"/>
        <v>0</v>
      </c>
      <c r="V12" s="85">
        <f t="shared" si="9"/>
        <v>0</v>
      </c>
      <c r="W12" s="85">
        <f t="shared" si="10"/>
        <v>0</v>
      </c>
      <c r="X12" s="48">
        <v>0</v>
      </c>
      <c r="Y12" s="48">
        <f t="shared" si="11"/>
        <v>0</v>
      </c>
    </row>
    <row r="13" spans="1:45" s="20" customFormat="1" ht="21" hidden="1" customHeight="1">
      <c r="A13" s="139">
        <v>11</v>
      </c>
      <c r="B13" s="135"/>
      <c r="C13" s="146" t="s">
        <v>37</v>
      </c>
      <c r="D13" s="38"/>
      <c r="E13" s="71"/>
      <c r="F13" s="71"/>
      <c r="G13" s="141"/>
      <c r="H13" s="71"/>
      <c r="I13" s="85"/>
      <c r="J13" s="48">
        <f t="shared" si="0"/>
        <v>0</v>
      </c>
      <c r="K13" s="48">
        <f t="shared" si="1"/>
        <v>0</v>
      </c>
      <c r="L13" s="48">
        <f t="shared" si="2"/>
        <v>0</v>
      </c>
      <c r="M13" s="85"/>
      <c r="N13" s="48">
        <f t="shared" si="3"/>
        <v>0</v>
      </c>
      <c r="O13" s="48">
        <f t="shared" si="4"/>
        <v>0</v>
      </c>
      <c r="P13" s="48">
        <f t="shared" si="5"/>
        <v>0</v>
      </c>
      <c r="Q13" s="141"/>
      <c r="R13" s="48">
        <f t="shared" si="6"/>
        <v>0</v>
      </c>
      <c r="S13" s="48">
        <f t="shared" si="7"/>
        <v>0</v>
      </c>
      <c r="T13" s="48">
        <f t="shared" si="8"/>
        <v>0</v>
      </c>
      <c r="U13" s="85">
        <f t="shared" si="12"/>
        <v>0</v>
      </c>
      <c r="V13" s="85">
        <f t="shared" si="9"/>
        <v>0</v>
      </c>
      <c r="W13" s="85">
        <f t="shared" si="10"/>
        <v>0</v>
      </c>
      <c r="X13" s="48">
        <v>0</v>
      </c>
      <c r="Y13" s="48">
        <f t="shared" si="11"/>
        <v>0</v>
      </c>
    </row>
    <row r="14" spans="1:45" s="20" customFormat="1" ht="21" hidden="1" customHeight="1">
      <c r="A14" s="139">
        <v>12</v>
      </c>
      <c r="B14" s="135"/>
      <c r="C14" s="146" t="s">
        <v>37</v>
      </c>
      <c r="D14" s="38"/>
      <c r="E14" s="71"/>
      <c r="F14" s="71"/>
      <c r="G14" s="141"/>
      <c r="H14" s="71"/>
      <c r="I14" s="85"/>
      <c r="J14" s="48">
        <f t="shared" si="0"/>
        <v>0</v>
      </c>
      <c r="K14" s="48">
        <f t="shared" si="1"/>
        <v>0</v>
      </c>
      <c r="L14" s="48">
        <f t="shared" si="2"/>
        <v>0</v>
      </c>
      <c r="M14" s="85"/>
      <c r="N14" s="48">
        <f t="shared" si="3"/>
        <v>0</v>
      </c>
      <c r="O14" s="48">
        <f t="shared" si="4"/>
        <v>0</v>
      </c>
      <c r="P14" s="48">
        <f t="shared" si="5"/>
        <v>0</v>
      </c>
      <c r="Q14" s="141"/>
      <c r="R14" s="48">
        <f t="shared" si="6"/>
        <v>0</v>
      </c>
      <c r="S14" s="48">
        <f t="shared" si="7"/>
        <v>0</v>
      </c>
      <c r="T14" s="48">
        <f t="shared" si="8"/>
        <v>0</v>
      </c>
      <c r="U14" s="85">
        <f t="shared" si="12"/>
        <v>0</v>
      </c>
      <c r="V14" s="85">
        <f t="shared" si="9"/>
        <v>0</v>
      </c>
      <c r="W14" s="85">
        <f t="shared" si="10"/>
        <v>0</v>
      </c>
      <c r="X14" s="48">
        <v>0</v>
      </c>
      <c r="Y14" s="48">
        <f t="shared" si="11"/>
        <v>0</v>
      </c>
    </row>
    <row r="15" spans="1:45" s="20" customFormat="1" ht="21" hidden="1" customHeight="1">
      <c r="A15" s="139">
        <v>13</v>
      </c>
      <c r="B15" s="135"/>
      <c r="C15" s="146" t="s">
        <v>37</v>
      </c>
      <c r="D15" s="38"/>
      <c r="E15" s="71"/>
      <c r="F15" s="71"/>
      <c r="G15" s="141"/>
      <c r="H15" s="71"/>
      <c r="I15" s="85"/>
      <c r="J15" s="48">
        <f t="shared" si="0"/>
        <v>0</v>
      </c>
      <c r="K15" s="48">
        <f t="shared" si="1"/>
        <v>0</v>
      </c>
      <c r="L15" s="48">
        <f t="shared" si="2"/>
        <v>0</v>
      </c>
      <c r="M15" s="85"/>
      <c r="N15" s="48">
        <f t="shared" si="3"/>
        <v>0</v>
      </c>
      <c r="O15" s="48">
        <f t="shared" si="4"/>
        <v>0</v>
      </c>
      <c r="P15" s="48">
        <f t="shared" si="5"/>
        <v>0</v>
      </c>
      <c r="Q15" s="141"/>
      <c r="R15" s="48">
        <f t="shared" si="6"/>
        <v>0</v>
      </c>
      <c r="S15" s="48">
        <f t="shared" si="7"/>
        <v>0</v>
      </c>
      <c r="T15" s="48">
        <f t="shared" si="8"/>
        <v>0</v>
      </c>
      <c r="U15" s="85">
        <f t="shared" si="12"/>
        <v>0</v>
      </c>
      <c r="V15" s="85">
        <f t="shared" si="9"/>
        <v>0</v>
      </c>
      <c r="W15" s="85">
        <f t="shared" si="10"/>
        <v>0</v>
      </c>
      <c r="X15" s="48">
        <v>0</v>
      </c>
      <c r="Y15" s="48">
        <f t="shared" si="11"/>
        <v>0</v>
      </c>
    </row>
    <row r="16" spans="1:45" s="20" customFormat="1" ht="21" hidden="1" customHeight="1">
      <c r="A16" s="139">
        <v>14</v>
      </c>
      <c r="B16" s="135"/>
      <c r="C16" s="146" t="s">
        <v>37</v>
      </c>
      <c r="D16" s="38"/>
      <c r="E16" s="71"/>
      <c r="F16" s="71"/>
      <c r="G16" s="141"/>
      <c r="H16" s="71"/>
      <c r="I16" s="85"/>
      <c r="J16" s="48">
        <f t="shared" si="0"/>
        <v>0</v>
      </c>
      <c r="K16" s="48">
        <f t="shared" si="1"/>
        <v>0</v>
      </c>
      <c r="L16" s="48">
        <f t="shared" si="2"/>
        <v>0</v>
      </c>
      <c r="M16" s="85"/>
      <c r="N16" s="48">
        <f t="shared" si="3"/>
        <v>0</v>
      </c>
      <c r="O16" s="48">
        <f t="shared" si="4"/>
        <v>0</v>
      </c>
      <c r="P16" s="48">
        <f t="shared" si="5"/>
        <v>0</v>
      </c>
      <c r="Q16" s="141"/>
      <c r="R16" s="48">
        <f t="shared" si="6"/>
        <v>0</v>
      </c>
      <c r="S16" s="48">
        <f t="shared" si="7"/>
        <v>0</v>
      </c>
      <c r="T16" s="48">
        <f t="shared" si="8"/>
        <v>0</v>
      </c>
      <c r="U16" s="85">
        <f t="shared" si="12"/>
        <v>0</v>
      </c>
      <c r="V16" s="85">
        <f t="shared" si="9"/>
        <v>0</v>
      </c>
      <c r="W16" s="85">
        <f t="shared" si="10"/>
        <v>0</v>
      </c>
      <c r="X16" s="48">
        <v>0</v>
      </c>
      <c r="Y16" s="48">
        <f t="shared" si="11"/>
        <v>0</v>
      </c>
    </row>
    <row r="17" spans="1:45" s="20" customFormat="1" ht="21" hidden="1" customHeight="1">
      <c r="A17" s="139">
        <v>15</v>
      </c>
      <c r="B17" s="135"/>
      <c r="C17" s="146" t="s">
        <v>37</v>
      </c>
      <c r="D17" s="38"/>
      <c r="E17" s="71"/>
      <c r="F17" s="71"/>
      <c r="G17" s="141"/>
      <c r="H17" s="71"/>
      <c r="I17" s="85"/>
      <c r="J17" s="48">
        <f t="shared" si="0"/>
        <v>0</v>
      </c>
      <c r="K17" s="48">
        <f t="shared" si="1"/>
        <v>0</v>
      </c>
      <c r="L17" s="48">
        <f t="shared" si="2"/>
        <v>0</v>
      </c>
      <c r="M17" s="85"/>
      <c r="N17" s="48">
        <f t="shared" si="3"/>
        <v>0</v>
      </c>
      <c r="O17" s="48">
        <f t="shared" si="4"/>
        <v>0</v>
      </c>
      <c r="P17" s="48">
        <f t="shared" si="5"/>
        <v>0</v>
      </c>
      <c r="Q17" s="141"/>
      <c r="R17" s="48">
        <f t="shared" si="6"/>
        <v>0</v>
      </c>
      <c r="S17" s="48">
        <f t="shared" si="7"/>
        <v>0</v>
      </c>
      <c r="T17" s="48">
        <f t="shared" si="8"/>
        <v>0</v>
      </c>
      <c r="U17" s="85">
        <f t="shared" si="12"/>
        <v>0</v>
      </c>
      <c r="V17" s="85">
        <f t="shared" si="9"/>
        <v>0</v>
      </c>
      <c r="W17" s="85">
        <f t="shared" si="10"/>
        <v>0</v>
      </c>
      <c r="X17" s="48">
        <v>0</v>
      </c>
      <c r="Y17" s="48">
        <f t="shared" si="11"/>
        <v>0</v>
      </c>
    </row>
    <row r="18" spans="1:45" s="20" customFormat="1" ht="21" hidden="1" customHeight="1">
      <c r="A18" s="139">
        <v>16</v>
      </c>
      <c r="B18" s="135"/>
      <c r="C18" s="146" t="s">
        <v>37</v>
      </c>
      <c r="D18" s="38"/>
      <c r="E18" s="71"/>
      <c r="F18" s="71"/>
      <c r="G18" s="141"/>
      <c r="H18" s="71"/>
      <c r="I18" s="85"/>
      <c r="J18" s="48">
        <f t="shared" si="0"/>
        <v>0</v>
      </c>
      <c r="K18" s="48">
        <f t="shared" si="1"/>
        <v>0</v>
      </c>
      <c r="L18" s="48">
        <f t="shared" si="2"/>
        <v>0</v>
      </c>
      <c r="M18" s="85"/>
      <c r="N18" s="48">
        <f t="shared" si="3"/>
        <v>0</v>
      </c>
      <c r="O18" s="48">
        <f t="shared" si="4"/>
        <v>0</v>
      </c>
      <c r="P18" s="48">
        <f t="shared" si="5"/>
        <v>0</v>
      </c>
      <c r="Q18" s="141"/>
      <c r="R18" s="48">
        <f t="shared" si="6"/>
        <v>0</v>
      </c>
      <c r="S18" s="48">
        <f t="shared" si="7"/>
        <v>0</v>
      </c>
      <c r="T18" s="48">
        <f t="shared" si="8"/>
        <v>0</v>
      </c>
      <c r="U18" s="85">
        <v>0</v>
      </c>
      <c r="V18" s="85">
        <f t="shared" si="9"/>
        <v>0</v>
      </c>
      <c r="W18" s="85">
        <f t="shared" si="10"/>
        <v>0</v>
      </c>
      <c r="X18" s="48">
        <v>0</v>
      </c>
      <c r="Y18" s="48">
        <f t="shared" si="11"/>
        <v>0</v>
      </c>
    </row>
    <row r="19" spans="1:45" s="20" customFormat="1" ht="21" hidden="1" customHeight="1">
      <c r="A19" s="139">
        <v>17</v>
      </c>
      <c r="B19" s="135"/>
      <c r="C19" s="146" t="s">
        <v>37</v>
      </c>
      <c r="D19" s="38"/>
      <c r="E19" s="71"/>
      <c r="F19" s="71"/>
      <c r="G19" s="141"/>
      <c r="H19" s="71"/>
      <c r="I19" s="85"/>
      <c r="J19" s="48">
        <f t="shared" si="0"/>
        <v>0</v>
      </c>
      <c r="K19" s="48">
        <f t="shared" si="1"/>
        <v>0</v>
      </c>
      <c r="L19" s="48">
        <f t="shared" si="2"/>
        <v>0</v>
      </c>
      <c r="M19" s="85"/>
      <c r="N19" s="48">
        <f t="shared" si="3"/>
        <v>0</v>
      </c>
      <c r="O19" s="48">
        <f t="shared" si="4"/>
        <v>0</v>
      </c>
      <c r="P19" s="48">
        <f t="shared" si="5"/>
        <v>0</v>
      </c>
      <c r="Q19" s="141"/>
      <c r="R19" s="48">
        <f t="shared" si="6"/>
        <v>0</v>
      </c>
      <c r="S19" s="48">
        <f t="shared" si="7"/>
        <v>0</v>
      </c>
      <c r="T19" s="48">
        <f t="shared" si="8"/>
        <v>0</v>
      </c>
      <c r="U19" s="85">
        <f>G19*(I19-M19)</f>
        <v>0</v>
      </c>
      <c r="V19" s="85">
        <f t="shared" si="9"/>
        <v>0</v>
      </c>
      <c r="W19" s="85">
        <f t="shared" si="10"/>
        <v>0</v>
      </c>
      <c r="X19" s="48">
        <v>0</v>
      </c>
      <c r="Y19" s="48">
        <f t="shared" si="11"/>
        <v>0</v>
      </c>
    </row>
    <row r="20" spans="1:45" s="20" customFormat="1" ht="21" hidden="1" customHeight="1">
      <c r="A20" s="139">
        <v>18</v>
      </c>
      <c r="B20" s="135"/>
      <c r="C20" s="146" t="s">
        <v>37</v>
      </c>
      <c r="D20" s="38"/>
      <c r="E20" s="71"/>
      <c r="F20" s="71"/>
      <c r="G20" s="141"/>
      <c r="H20" s="71"/>
      <c r="I20" s="85"/>
      <c r="J20" s="48">
        <f t="shared" si="0"/>
        <v>0</v>
      </c>
      <c r="K20" s="48">
        <f t="shared" si="1"/>
        <v>0</v>
      </c>
      <c r="L20" s="48">
        <f t="shared" si="2"/>
        <v>0</v>
      </c>
      <c r="M20" s="85"/>
      <c r="N20" s="48">
        <f t="shared" si="3"/>
        <v>0</v>
      </c>
      <c r="O20" s="48">
        <f t="shared" si="4"/>
        <v>0</v>
      </c>
      <c r="P20" s="48">
        <f t="shared" si="5"/>
        <v>0</v>
      </c>
      <c r="Q20" s="141"/>
      <c r="R20" s="48">
        <f t="shared" si="6"/>
        <v>0</v>
      </c>
      <c r="S20" s="48">
        <f t="shared" si="7"/>
        <v>0</v>
      </c>
      <c r="T20" s="48">
        <f t="shared" si="8"/>
        <v>0</v>
      </c>
      <c r="U20" s="85">
        <f>G20*(I20-M20)</f>
        <v>0</v>
      </c>
      <c r="V20" s="85">
        <f t="shared" si="9"/>
        <v>0</v>
      </c>
      <c r="W20" s="85">
        <f t="shared" si="10"/>
        <v>0</v>
      </c>
      <c r="X20" s="48">
        <v>0</v>
      </c>
      <c r="Y20" s="48">
        <f t="shared" si="11"/>
        <v>0</v>
      </c>
    </row>
    <row r="21" spans="1:45" s="20" customFormat="1" ht="21" hidden="1" customHeight="1">
      <c r="A21" s="139">
        <v>19</v>
      </c>
      <c r="B21" s="135"/>
      <c r="C21" s="146" t="s">
        <v>37</v>
      </c>
      <c r="D21" s="38"/>
      <c r="E21" s="71"/>
      <c r="F21" s="71"/>
      <c r="G21" s="147"/>
      <c r="H21" s="71"/>
      <c r="I21" s="85"/>
      <c r="J21" s="48">
        <f t="shared" si="0"/>
        <v>0</v>
      </c>
      <c r="K21" s="48">
        <f t="shared" si="1"/>
        <v>0</v>
      </c>
      <c r="L21" s="48">
        <f t="shared" si="2"/>
        <v>0</v>
      </c>
      <c r="M21" s="85"/>
      <c r="N21" s="48">
        <f t="shared" si="3"/>
        <v>0</v>
      </c>
      <c r="O21" s="48">
        <f t="shared" si="4"/>
        <v>0</v>
      </c>
      <c r="P21" s="48">
        <f t="shared" si="5"/>
        <v>0</v>
      </c>
      <c r="Q21" s="141"/>
      <c r="R21" s="48">
        <f t="shared" si="6"/>
        <v>0</v>
      </c>
      <c r="S21" s="48">
        <f t="shared" si="7"/>
        <v>0</v>
      </c>
      <c r="T21" s="48">
        <f t="shared" si="8"/>
        <v>0</v>
      </c>
      <c r="U21" s="85">
        <f>G21*(I21-M21)</f>
        <v>0</v>
      </c>
      <c r="V21" s="85">
        <f t="shared" si="9"/>
        <v>0</v>
      </c>
      <c r="W21" s="85">
        <f t="shared" si="10"/>
        <v>0</v>
      </c>
      <c r="X21" s="48">
        <v>0</v>
      </c>
      <c r="Y21" s="48">
        <f t="shared" si="11"/>
        <v>0</v>
      </c>
    </row>
    <row r="22" spans="1:45" s="20" customFormat="1" ht="21" hidden="1" customHeight="1">
      <c r="A22" s="139">
        <v>20</v>
      </c>
      <c r="B22" s="135"/>
      <c r="C22" s="146" t="s">
        <v>37</v>
      </c>
      <c r="D22" s="38"/>
      <c r="E22" s="38"/>
      <c r="F22" s="38"/>
      <c r="G22" s="42"/>
      <c r="H22" s="41"/>
      <c r="I22" s="136"/>
      <c r="J22" s="48">
        <f t="shared" si="0"/>
        <v>0</v>
      </c>
      <c r="K22" s="48">
        <f t="shared" si="1"/>
        <v>0</v>
      </c>
      <c r="L22" s="48">
        <f t="shared" si="2"/>
        <v>0</v>
      </c>
      <c r="M22" s="136"/>
      <c r="N22" s="48">
        <f t="shared" si="3"/>
        <v>0</v>
      </c>
      <c r="O22" s="48">
        <f t="shared" si="4"/>
        <v>0</v>
      </c>
      <c r="P22" s="48">
        <f t="shared" si="5"/>
        <v>0</v>
      </c>
      <c r="Q22" s="141"/>
      <c r="R22" s="48">
        <f t="shared" si="6"/>
        <v>0</v>
      </c>
      <c r="S22" s="48">
        <f t="shared" si="7"/>
        <v>0</v>
      </c>
      <c r="T22" s="48">
        <f t="shared" si="8"/>
        <v>0</v>
      </c>
      <c r="U22" s="85">
        <f>G22*(I22-M22)</f>
        <v>0</v>
      </c>
      <c r="V22" s="85">
        <f t="shared" si="9"/>
        <v>0</v>
      </c>
      <c r="W22" s="85">
        <f t="shared" si="10"/>
        <v>0</v>
      </c>
      <c r="X22" s="48">
        <v>0</v>
      </c>
      <c r="Y22" s="48">
        <f t="shared" si="11"/>
        <v>0</v>
      </c>
    </row>
    <row r="23" spans="1:45" s="20" customFormat="1" ht="21" customHeight="1">
      <c r="A23" s="37"/>
      <c r="B23" s="37"/>
      <c r="C23" s="40"/>
      <c r="D23" s="40"/>
      <c r="E23" s="38"/>
      <c r="F23" s="38"/>
      <c r="G23" s="42"/>
      <c r="H23" s="41"/>
      <c r="I23" s="148"/>
      <c r="J23" s="39"/>
      <c r="K23" s="39"/>
      <c r="L23" s="39"/>
      <c r="M23" s="148"/>
      <c r="N23" s="39"/>
      <c r="O23" s="39"/>
      <c r="P23" s="39"/>
      <c r="Q23" s="148"/>
      <c r="R23" s="39"/>
      <c r="S23" s="39"/>
      <c r="T23" s="39"/>
      <c r="U23" s="149"/>
      <c r="V23" s="149"/>
      <c r="W23" s="149"/>
      <c r="X23" s="150"/>
      <c r="Y23" s="69"/>
    </row>
    <row r="24" spans="1:45" s="20" customFormat="1" ht="21" customHeight="1" thickBot="1">
      <c r="A24" s="37"/>
      <c r="B24" s="37"/>
      <c r="C24" s="40"/>
      <c r="D24" s="40"/>
      <c r="E24" s="41"/>
      <c r="F24" s="41"/>
      <c r="G24" s="42"/>
      <c r="H24" s="40"/>
      <c r="I24" s="148"/>
      <c r="J24" s="39"/>
      <c r="K24" s="39"/>
      <c r="L24" s="39"/>
      <c r="M24" s="148"/>
      <c r="N24" s="39"/>
      <c r="O24" s="39"/>
      <c r="P24" s="39"/>
      <c r="Q24" s="148"/>
      <c r="R24" s="39"/>
      <c r="S24" s="39"/>
      <c r="T24" s="39"/>
      <c r="U24" s="149"/>
      <c r="V24" s="149"/>
      <c r="W24" s="149"/>
      <c r="X24" s="150"/>
      <c r="Y24" s="69"/>
    </row>
    <row r="25" spans="1:45" s="153" customFormat="1" ht="21" customHeight="1" thickBot="1">
      <c r="A25" s="43"/>
      <c r="B25" s="43" t="s">
        <v>11</v>
      </c>
      <c r="C25" s="137"/>
      <c r="D25" s="137"/>
      <c r="E25" s="151"/>
      <c r="F25" s="151"/>
      <c r="G25" s="138">
        <f>SUBTOTAL(9,G3:G24)</f>
        <v>37</v>
      </c>
      <c r="H25" s="152"/>
      <c r="I25" s="80"/>
      <c r="J25" s="82"/>
      <c r="K25" s="82"/>
      <c r="L25" s="82">
        <f>SUM(L3:L24)</f>
        <v>99164200</v>
      </c>
      <c r="M25" s="80"/>
      <c r="N25" s="82"/>
      <c r="O25" s="82"/>
      <c r="P25" s="82">
        <f>SUM(P3:P24)</f>
        <v>95690200</v>
      </c>
      <c r="Q25" s="80"/>
      <c r="R25" s="82"/>
      <c r="S25" s="82"/>
      <c r="T25" s="82">
        <f>SUM(T3:T24)</f>
        <v>87708870</v>
      </c>
      <c r="U25" s="82">
        <f>SUM(U3:U24)</f>
        <v>3129729.7297297292</v>
      </c>
      <c r="V25" s="82"/>
      <c r="W25" s="82">
        <f>SUM(W3:W24)</f>
        <v>7190387.3873873875</v>
      </c>
      <c r="X25" s="83">
        <f>W25/G25</f>
        <v>194334.79425371316</v>
      </c>
      <c r="Y25" s="80">
        <f>SUM(Y3:Y24)</f>
        <v>342500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</row>
    <row r="26" spans="1:45" s="4" customFormat="1">
      <c r="A26" s="1"/>
      <c r="B26" s="1"/>
      <c r="C26" s="1"/>
      <c r="D26" s="1"/>
      <c r="F26" s="18"/>
      <c r="Q26" s="16"/>
      <c r="S26" s="15"/>
    </row>
    <row r="27" spans="1:45" s="4" customFormat="1">
      <c r="A27" s="1"/>
      <c r="B27" s="1"/>
      <c r="C27" s="1"/>
      <c r="D27" s="1"/>
      <c r="F27" s="18"/>
      <c r="Q27" s="16"/>
      <c r="S27" s="15"/>
    </row>
    <row r="28" spans="1:45" s="4" customFormat="1">
      <c r="A28" s="1"/>
      <c r="B28" s="1"/>
      <c r="C28" s="1"/>
      <c r="D28" s="1"/>
      <c r="F28" s="18"/>
      <c r="Q28" s="16"/>
      <c r="S28" s="15"/>
    </row>
    <row r="29" spans="1:45" s="4" customFormat="1">
      <c r="A29" s="1"/>
      <c r="B29" s="1"/>
      <c r="C29" s="1"/>
      <c r="D29" s="1"/>
      <c r="F29" s="18"/>
      <c r="Q29" s="16"/>
      <c r="S29" s="15"/>
    </row>
    <row r="30" spans="1:45" s="4" customFormat="1">
      <c r="A30" s="1"/>
      <c r="B30" s="1"/>
      <c r="C30" s="1"/>
      <c r="D30" s="1"/>
      <c r="Q30" s="17"/>
    </row>
    <row r="31" spans="1:45" s="4" customFormat="1">
      <c r="A31" s="1"/>
      <c r="B31" s="1"/>
      <c r="C31" s="1"/>
      <c r="D31" s="1"/>
    </row>
    <row r="32" spans="1:45" s="4" customFormat="1">
      <c r="A32" s="1"/>
      <c r="B32" s="1"/>
      <c r="C32" s="1"/>
      <c r="D32" s="1"/>
    </row>
    <row r="33" spans="1:4" s="4" customFormat="1">
      <c r="A33" s="1"/>
      <c r="B33" s="1"/>
      <c r="C33" s="1"/>
      <c r="D33" s="1"/>
    </row>
    <row r="34" spans="1:4" s="4" customFormat="1">
      <c r="A34" s="1"/>
      <c r="B34" s="1"/>
      <c r="C34" s="1"/>
      <c r="D34" s="1"/>
    </row>
    <row r="35" spans="1:4" s="4" customFormat="1">
      <c r="A35" s="1"/>
      <c r="B35" s="1"/>
      <c r="C35" s="1"/>
      <c r="D35" s="1"/>
    </row>
    <row r="36" spans="1:4">
      <c r="A36" s="1"/>
      <c r="B36" s="1"/>
    </row>
  </sheetData>
  <autoFilter ref="A2:Y22" xr:uid="{00000000-0001-0000-0400-000000000000}">
    <filterColumn colId="3">
      <filters>
        <filter val="AJM"/>
      </filters>
    </filterColumn>
  </autoFilter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39"/>
  <sheetViews>
    <sheetView view="pageBreakPreview" zoomScale="70" zoomScaleNormal="100" zoomScaleSheetLayoutView="70" workbookViewId="0">
      <pane xSplit="8" ySplit="2" topLeftCell="T3" activePane="bottomRight" state="frozen"/>
      <selection pane="topRight" activeCell="G1" sqref="G1"/>
      <selection pane="bottomLeft" activeCell="A11" sqref="A11"/>
      <selection pane="bottomRight" activeCell="Y12" sqref="Y12"/>
    </sheetView>
  </sheetViews>
  <sheetFormatPr defaultColWidth="9.109375" defaultRowHeight="13.8"/>
  <cols>
    <col min="1" max="1" width="5.77734375" style="75" customWidth="1"/>
    <col min="2" max="2" width="10.77734375" style="2" customWidth="1"/>
    <col min="3" max="3" width="14.77734375" style="19" customWidth="1"/>
    <col min="4" max="4" width="13.77734375" style="19" customWidth="1"/>
    <col min="5" max="5" width="30.77734375" style="2" customWidth="1"/>
    <col min="6" max="6" width="37.5546875" style="2" customWidth="1"/>
    <col min="7" max="8" width="14.77734375" style="2" customWidth="1"/>
    <col min="9" max="11" width="15.44140625" style="2" customWidth="1"/>
    <col min="12" max="12" width="21.5546875" style="2" customWidth="1"/>
    <col min="13" max="15" width="15.44140625" style="2" customWidth="1"/>
    <col min="16" max="16" width="21.5546875" style="2" bestFit="1" customWidth="1"/>
    <col min="17" max="19" width="15.44140625" style="2" customWidth="1"/>
    <col min="20" max="20" width="21.5546875" style="2" bestFit="1" customWidth="1"/>
    <col min="21" max="22" width="15.44140625" style="2" customWidth="1"/>
    <col min="23" max="23" width="24.21875" style="2" bestFit="1" customWidth="1"/>
    <col min="24" max="25" width="15.44140625" style="2" customWidth="1"/>
    <col min="26" max="26" width="12.21875" style="2" bestFit="1" customWidth="1"/>
    <col min="27" max="27" width="13.5546875" style="2" bestFit="1" customWidth="1"/>
    <col min="28" max="16384" width="9.109375" style="2"/>
  </cols>
  <sheetData>
    <row r="1" spans="1:177" ht="24.6">
      <c r="A1" s="169" t="str">
        <f>MALANG!A1</f>
        <v>REKAP PENJUALAN SALES AJM APRIL 2026</v>
      </c>
      <c r="B1" s="169"/>
      <c r="C1" s="170"/>
      <c r="D1" s="170"/>
      <c r="E1" s="169"/>
      <c r="F1" s="169"/>
      <c r="G1" s="169"/>
      <c r="H1" s="169"/>
    </row>
    <row r="2" spans="1:177" s="3" customFormat="1" ht="59.25" customHeight="1">
      <c r="A2" s="72" t="s">
        <v>19</v>
      </c>
      <c r="B2" s="5" t="s">
        <v>20</v>
      </c>
      <c r="C2" s="6" t="s">
        <v>6</v>
      </c>
      <c r="D2" s="6" t="s">
        <v>4</v>
      </c>
      <c r="E2" s="6" t="s">
        <v>5</v>
      </c>
      <c r="F2" s="5" t="s">
        <v>0</v>
      </c>
      <c r="G2" s="6" t="s">
        <v>7</v>
      </c>
      <c r="H2" s="5" t="s">
        <v>1</v>
      </c>
      <c r="I2" s="7" t="s">
        <v>8</v>
      </c>
      <c r="J2" s="7" t="s">
        <v>10</v>
      </c>
      <c r="K2" s="8" t="s">
        <v>24</v>
      </c>
      <c r="L2" s="8" t="s">
        <v>12</v>
      </c>
      <c r="M2" s="9" t="s">
        <v>2</v>
      </c>
      <c r="N2" s="9" t="s">
        <v>10</v>
      </c>
      <c r="O2" s="10" t="s">
        <v>24</v>
      </c>
      <c r="P2" s="10" t="s">
        <v>13</v>
      </c>
      <c r="Q2" s="27" t="s">
        <v>33</v>
      </c>
      <c r="R2" s="12" t="s">
        <v>10</v>
      </c>
      <c r="S2" s="11" t="s">
        <v>24</v>
      </c>
      <c r="T2" s="27" t="s">
        <v>32</v>
      </c>
      <c r="U2" s="13" t="s">
        <v>9</v>
      </c>
      <c r="V2" s="7" t="s">
        <v>15</v>
      </c>
      <c r="W2" s="8" t="s">
        <v>14</v>
      </c>
      <c r="X2" s="8" t="s">
        <v>17</v>
      </c>
      <c r="Y2" s="8" t="s">
        <v>16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</row>
    <row r="3" spans="1:177" s="20" customFormat="1" ht="21" customHeight="1">
      <c r="A3" s="139">
        <v>1</v>
      </c>
      <c r="B3" s="76">
        <v>46113</v>
      </c>
      <c r="C3" s="41" t="s">
        <v>40</v>
      </c>
      <c r="D3" s="154" t="s">
        <v>31</v>
      </c>
      <c r="E3" s="154" t="s">
        <v>60</v>
      </c>
      <c r="F3" s="154" t="s">
        <v>61</v>
      </c>
      <c r="G3" s="155">
        <v>6</v>
      </c>
      <c r="H3" s="38" t="s">
        <v>63</v>
      </c>
      <c r="I3" s="48">
        <v>1520000</v>
      </c>
      <c r="J3" s="85">
        <f t="shared" ref="J3:J12" si="0">I3*11%</f>
        <v>167200</v>
      </c>
      <c r="K3" s="85">
        <f t="shared" ref="K3:K12" si="1">I3+J3</f>
        <v>1687200</v>
      </c>
      <c r="L3" s="85">
        <f t="shared" ref="L3:L12" si="2">K3*G3</f>
        <v>10123200</v>
      </c>
      <c r="M3" s="48">
        <v>1350000</v>
      </c>
      <c r="N3" s="85">
        <f t="shared" ref="N3:N12" si="3">M3*11%</f>
        <v>148500</v>
      </c>
      <c r="O3" s="85">
        <f t="shared" ref="O3:O12" si="4">M3+N3</f>
        <v>1498500</v>
      </c>
      <c r="P3" s="85">
        <f t="shared" ref="P3:P12" si="5">O3*G3</f>
        <v>8991000</v>
      </c>
      <c r="Q3" s="48">
        <v>1200000</v>
      </c>
      <c r="R3" s="85">
        <f t="shared" ref="R3:R12" si="6">Q3*11%</f>
        <v>132000</v>
      </c>
      <c r="S3" s="85">
        <f t="shared" ref="S3:S12" si="7">Q3+R3</f>
        <v>1332000</v>
      </c>
      <c r="T3" s="85">
        <f t="shared" ref="T3:T12" si="8">S3*G3</f>
        <v>7992000</v>
      </c>
      <c r="U3" s="85">
        <v>0</v>
      </c>
      <c r="V3" s="85">
        <f t="shared" ref="V3:V12" si="9">M3-Q3</f>
        <v>150000</v>
      </c>
      <c r="W3" s="85">
        <f t="shared" ref="W3:W11" si="10">G3*V3</f>
        <v>900000</v>
      </c>
      <c r="X3" s="85">
        <v>5000</v>
      </c>
      <c r="Y3" s="85">
        <f t="shared" ref="Y3:Y12" si="11">G3*X3</f>
        <v>30000</v>
      </c>
    </row>
    <row r="4" spans="1:177" s="20" customFormat="1" ht="21" customHeight="1">
      <c r="A4" s="139">
        <v>2</v>
      </c>
      <c r="B4" s="76">
        <v>46114</v>
      </c>
      <c r="C4" s="41" t="s">
        <v>40</v>
      </c>
      <c r="D4" s="154" t="s">
        <v>31</v>
      </c>
      <c r="E4" s="154" t="s">
        <v>60</v>
      </c>
      <c r="F4" s="154" t="s">
        <v>61</v>
      </c>
      <c r="G4" s="91">
        <v>8</v>
      </c>
      <c r="H4" s="38" t="s">
        <v>63</v>
      </c>
      <c r="I4" s="48">
        <v>1520000</v>
      </c>
      <c r="J4" s="85">
        <f t="shared" si="0"/>
        <v>167200</v>
      </c>
      <c r="K4" s="85">
        <f t="shared" si="1"/>
        <v>1687200</v>
      </c>
      <c r="L4" s="85">
        <f t="shared" si="2"/>
        <v>13497600</v>
      </c>
      <c r="M4" s="48">
        <v>1350000</v>
      </c>
      <c r="N4" s="85">
        <f t="shared" si="3"/>
        <v>148500</v>
      </c>
      <c r="O4" s="85">
        <f t="shared" si="4"/>
        <v>1498500</v>
      </c>
      <c r="P4" s="85">
        <f t="shared" si="5"/>
        <v>11988000</v>
      </c>
      <c r="Q4" s="48">
        <v>1200000</v>
      </c>
      <c r="R4" s="85">
        <f t="shared" si="6"/>
        <v>132000</v>
      </c>
      <c r="S4" s="85">
        <f t="shared" si="7"/>
        <v>1332000</v>
      </c>
      <c r="T4" s="85">
        <f t="shared" si="8"/>
        <v>10656000</v>
      </c>
      <c r="U4" s="85">
        <v>0</v>
      </c>
      <c r="V4" s="85">
        <f t="shared" si="9"/>
        <v>150000</v>
      </c>
      <c r="W4" s="85">
        <f t="shared" si="10"/>
        <v>1200000</v>
      </c>
      <c r="X4" s="85">
        <v>5000</v>
      </c>
      <c r="Y4" s="85">
        <f t="shared" si="11"/>
        <v>40000</v>
      </c>
    </row>
    <row r="5" spans="1:177" s="20" customFormat="1" ht="21" customHeight="1">
      <c r="A5" s="139">
        <v>3</v>
      </c>
      <c r="B5" s="76">
        <v>46118</v>
      </c>
      <c r="C5" s="41" t="s">
        <v>40</v>
      </c>
      <c r="D5" s="154" t="s">
        <v>31</v>
      </c>
      <c r="E5" s="154" t="s">
        <v>60</v>
      </c>
      <c r="F5" s="154" t="s">
        <v>61</v>
      </c>
      <c r="G5" s="155">
        <v>7</v>
      </c>
      <c r="H5" s="38" t="s">
        <v>64</v>
      </c>
      <c r="I5" s="48">
        <v>1380000</v>
      </c>
      <c r="J5" s="85">
        <f t="shared" si="0"/>
        <v>151800</v>
      </c>
      <c r="K5" s="85">
        <f t="shared" si="1"/>
        <v>1531800</v>
      </c>
      <c r="L5" s="85">
        <f t="shared" si="2"/>
        <v>10722600</v>
      </c>
      <c r="M5" s="48">
        <v>1250000</v>
      </c>
      <c r="N5" s="85">
        <f t="shared" si="3"/>
        <v>137500</v>
      </c>
      <c r="O5" s="85">
        <f t="shared" si="4"/>
        <v>1387500</v>
      </c>
      <c r="P5" s="85">
        <f t="shared" si="5"/>
        <v>9712500</v>
      </c>
      <c r="Q5" s="48">
        <v>1150000</v>
      </c>
      <c r="R5" s="85">
        <f t="shared" si="6"/>
        <v>126500</v>
      </c>
      <c r="S5" s="85">
        <f t="shared" si="7"/>
        <v>1276500</v>
      </c>
      <c r="T5" s="85">
        <f t="shared" si="8"/>
        <v>8935500</v>
      </c>
      <c r="U5" s="85">
        <v>0</v>
      </c>
      <c r="V5" s="85">
        <f t="shared" si="9"/>
        <v>100000</v>
      </c>
      <c r="W5" s="85">
        <f t="shared" si="10"/>
        <v>700000</v>
      </c>
      <c r="X5" s="85">
        <v>5000</v>
      </c>
      <c r="Y5" s="85">
        <f t="shared" si="11"/>
        <v>35000</v>
      </c>
    </row>
    <row r="6" spans="1:177" s="20" customFormat="1" ht="21" customHeight="1">
      <c r="A6" s="139">
        <v>4</v>
      </c>
      <c r="B6" s="76">
        <v>46122</v>
      </c>
      <c r="C6" s="41" t="s">
        <v>40</v>
      </c>
      <c r="D6" s="154" t="s">
        <v>31</v>
      </c>
      <c r="E6" s="154" t="s">
        <v>60</v>
      </c>
      <c r="F6" s="154" t="s">
        <v>61</v>
      </c>
      <c r="G6" s="155">
        <v>7</v>
      </c>
      <c r="H6" s="38" t="s">
        <v>63</v>
      </c>
      <c r="I6" s="48">
        <v>1520000</v>
      </c>
      <c r="J6" s="85">
        <f t="shared" si="0"/>
        <v>167200</v>
      </c>
      <c r="K6" s="85">
        <f t="shared" si="1"/>
        <v>1687200</v>
      </c>
      <c r="L6" s="85">
        <f t="shared" si="2"/>
        <v>11810400</v>
      </c>
      <c r="M6" s="48">
        <v>1350000</v>
      </c>
      <c r="N6" s="85">
        <f t="shared" si="3"/>
        <v>148500</v>
      </c>
      <c r="O6" s="85">
        <f t="shared" si="4"/>
        <v>1498500</v>
      </c>
      <c r="P6" s="85">
        <f t="shared" si="5"/>
        <v>10489500</v>
      </c>
      <c r="Q6" s="48">
        <v>1200000</v>
      </c>
      <c r="R6" s="85">
        <f t="shared" si="6"/>
        <v>132000</v>
      </c>
      <c r="S6" s="85">
        <f t="shared" si="7"/>
        <v>1332000</v>
      </c>
      <c r="T6" s="85">
        <f t="shared" si="8"/>
        <v>9324000</v>
      </c>
      <c r="U6" s="85">
        <v>0</v>
      </c>
      <c r="V6" s="85">
        <f t="shared" si="9"/>
        <v>150000</v>
      </c>
      <c r="W6" s="85">
        <f t="shared" si="10"/>
        <v>1050000</v>
      </c>
      <c r="X6" s="85">
        <v>5000</v>
      </c>
      <c r="Y6" s="85">
        <f t="shared" si="11"/>
        <v>35000</v>
      </c>
    </row>
    <row r="7" spans="1:177" s="20" customFormat="1" ht="21" customHeight="1">
      <c r="A7" s="139">
        <v>5</v>
      </c>
      <c r="B7" s="76">
        <v>46125</v>
      </c>
      <c r="C7" s="41" t="s">
        <v>40</v>
      </c>
      <c r="D7" s="154" t="s">
        <v>31</v>
      </c>
      <c r="E7" s="154" t="s">
        <v>60</v>
      </c>
      <c r="F7" s="154" t="s">
        <v>61</v>
      </c>
      <c r="G7" s="155">
        <v>5</v>
      </c>
      <c r="H7" s="38" t="s">
        <v>62</v>
      </c>
      <c r="I7" s="48">
        <v>1600000</v>
      </c>
      <c r="J7" s="85">
        <f t="shared" si="0"/>
        <v>176000</v>
      </c>
      <c r="K7" s="85">
        <f t="shared" si="1"/>
        <v>1776000</v>
      </c>
      <c r="L7" s="85">
        <f t="shared" si="2"/>
        <v>8880000</v>
      </c>
      <c r="M7" s="48">
        <v>1500000</v>
      </c>
      <c r="N7" s="85">
        <f t="shared" si="3"/>
        <v>165000</v>
      </c>
      <c r="O7" s="85">
        <f t="shared" si="4"/>
        <v>1665000</v>
      </c>
      <c r="P7" s="85">
        <f t="shared" si="5"/>
        <v>8325000</v>
      </c>
      <c r="Q7" s="48">
        <v>1400000</v>
      </c>
      <c r="R7" s="85">
        <f t="shared" si="6"/>
        <v>154000</v>
      </c>
      <c r="S7" s="85">
        <f t="shared" si="7"/>
        <v>1554000</v>
      </c>
      <c r="T7" s="85">
        <f t="shared" si="8"/>
        <v>7770000</v>
      </c>
      <c r="U7" s="85">
        <v>0</v>
      </c>
      <c r="V7" s="85">
        <f t="shared" si="9"/>
        <v>100000</v>
      </c>
      <c r="W7" s="85">
        <f>G7*V7</f>
        <v>500000</v>
      </c>
      <c r="X7" s="85">
        <v>5000</v>
      </c>
      <c r="Y7" s="85">
        <f t="shared" si="11"/>
        <v>25000</v>
      </c>
    </row>
    <row r="8" spans="1:177" s="20" customFormat="1" ht="21" customHeight="1">
      <c r="A8" s="139">
        <v>6</v>
      </c>
      <c r="B8" s="76">
        <v>46125</v>
      </c>
      <c r="C8" s="41" t="s">
        <v>40</v>
      </c>
      <c r="D8" s="154" t="s">
        <v>31</v>
      </c>
      <c r="E8" s="154" t="s">
        <v>60</v>
      </c>
      <c r="F8" s="154" t="s">
        <v>61</v>
      </c>
      <c r="G8" s="155">
        <v>11</v>
      </c>
      <c r="H8" s="38" t="s">
        <v>63</v>
      </c>
      <c r="I8" s="48">
        <v>1520000</v>
      </c>
      <c r="J8" s="85">
        <f t="shared" si="0"/>
        <v>167200</v>
      </c>
      <c r="K8" s="85">
        <f t="shared" si="1"/>
        <v>1687200</v>
      </c>
      <c r="L8" s="85">
        <f t="shared" si="2"/>
        <v>18559200</v>
      </c>
      <c r="M8" s="48">
        <v>1350000</v>
      </c>
      <c r="N8" s="85">
        <f t="shared" si="3"/>
        <v>148500</v>
      </c>
      <c r="O8" s="85">
        <f t="shared" si="4"/>
        <v>1498500</v>
      </c>
      <c r="P8" s="85">
        <f t="shared" si="5"/>
        <v>16483500</v>
      </c>
      <c r="Q8" s="48">
        <v>1200000</v>
      </c>
      <c r="R8" s="85">
        <f t="shared" si="6"/>
        <v>132000</v>
      </c>
      <c r="S8" s="85">
        <f t="shared" si="7"/>
        <v>1332000</v>
      </c>
      <c r="T8" s="85">
        <f t="shared" si="8"/>
        <v>14652000</v>
      </c>
      <c r="U8" s="85">
        <v>0</v>
      </c>
      <c r="V8" s="85">
        <f t="shared" si="9"/>
        <v>150000</v>
      </c>
      <c r="W8" s="85">
        <f t="shared" si="10"/>
        <v>1650000</v>
      </c>
      <c r="X8" s="85">
        <v>5000</v>
      </c>
      <c r="Y8" s="85">
        <f t="shared" si="11"/>
        <v>55000</v>
      </c>
    </row>
    <row r="9" spans="1:177" s="20" customFormat="1" ht="21" customHeight="1">
      <c r="A9" s="139">
        <v>7</v>
      </c>
      <c r="B9" s="76">
        <v>46127</v>
      </c>
      <c r="C9" s="41" t="s">
        <v>40</v>
      </c>
      <c r="D9" s="154" t="s">
        <v>31</v>
      </c>
      <c r="E9" s="154" t="s">
        <v>60</v>
      </c>
      <c r="F9" s="154" t="s">
        <v>61</v>
      </c>
      <c r="G9" s="155">
        <v>7</v>
      </c>
      <c r="H9" s="38" t="s">
        <v>63</v>
      </c>
      <c r="I9" s="48">
        <v>1520000</v>
      </c>
      <c r="J9" s="85">
        <f t="shared" si="0"/>
        <v>167200</v>
      </c>
      <c r="K9" s="85">
        <f t="shared" si="1"/>
        <v>1687200</v>
      </c>
      <c r="L9" s="85">
        <f t="shared" si="2"/>
        <v>11810400</v>
      </c>
      <c r="M9" s="48">
        <v>1350000</v>
      </c>
      <c r="N9" s="85">
        <f t="shared" si="3"/>
        <v>148500</v>
      </c>
      <c r="O9" s="85">
        <f t="shared" si="4"/>
        <v>1498500</v>
      </c>
      <c r="P9" s="85">
        <f t="shared" si="5"/>
        <v>10489500</v>
      </c>
      <c r="Q9" s="48">
        <v>1200000</v>
      </c>
      <c r="R9" s="85">
        <f t="shared" si="6"/>
        <v>132000</v>
      </c>
      <c r="S9" s="85">
        <f t="shared" si="7"/>
        <v>1332000</v>
      </c>
      <c r="T9" s="85">
        <f t="shared" si="8"/>
        <v>9324000</v>
      </c>
      <c r="U9" s="85">
        <v>0</v>
      </c>
      <c r="V9" s="85">
        <f t="shared" si="9"/>
        <v>150000</v>
      </c>
      <c r="W9" s="85">
        <f t="shared" si="10"/>
        <v>1050000</v>
      </c>
      <c r="X9" s="85">
        <v>5000</v>
      </c>
      <c r="Y9" s="85">
        <f t="shared" si="11"/>
        <v>35000</v>
      </c>
    </row>
    <row r="10" spans="1:177" s="20" customFormat="1" ht="21" customHeight="1">
      <c r="A10" s="139">
        <v>8</v>
      </c>
      <c r="B10" s="76">
        <v>46128</v>
      </c>
      <c r="C10" s="41" t="s">
        <v>40</v>
      </c>
      <c r="D10" s="154" t="s">
        <v>31</v>
      </c>
      <c r="E10" s="154" t="s">
        <v>60</v>
      </c>
      <c r="F10" s="154" t="s">
        <v>61</v>
      </c>
      <c r="G10" s="155">
        <v>7</v>
      </c>
      <c r="H10" s="38" t="s">
        <v>63</v>
      </c>
      <c r="I10" s="48">
        <v>1520000</v>
      </c>
      <c r="J10" s="85">
        <f t="shared" si="0"/>
        <v>167200</v>
      </c>
      <c r="K10" s="85">
        <f t="shared" si="1"/>
        <v>1687200</v>
      </c>
      <c r="L10" s="85">
        <f t="shared" si="2"/>
        <v>11810400</v>
      </c>
      <c r="M10" s="48">
        <v>1350000</v>
      </c>
      <c r="N10" s="85">
        <f t="shared" si="3"/>
        <v>148500</v>
      </c>
      <c r="O10" s="85">
        <f t="shared" si="4"/>
        <v>1498500</v>
      </c>
      <c r="P10" s="85">
        <f t="shared" si="5"/>
        <v>10489500</v>
      </c>
      <c r="Q10" s="48">
        <v>1200000</v>
      </c>
      <c r="R10" s="85">
        <f t="shared" si="6"/>
        <v>132000</v>
      </c>
      <c r="S10" s="85">
        <f t="shared" si="7"/>
        <v>1332000</v>
      </c>
      <c r="T10" s="85">
        <f t="shared" si="8"/>
        <v>9324000</v>
      </c>
      <c r="U10" s="85">
        <v>0</v>
      </c>
      <c r="V10" s="85">
        <f t="shared" si="9"/>
        <v>150000</v>
      </c>
      <c r="W10" s="85">
        <f t="shared" si="10"/>
        <v>1050000</v>
      </c>
      <c r="X10" s="85">
        <v>5000</v>
      </c>
      <c r="Y10" s="85">
        <f t="shared" si="11"/>
        <v>35000</v>
      </c>
    </row>
    <row r="11" spans="1:177" s="20" customFormat="1" ht="21" customHeight="1">
      <c r="A11" s="139">
        <v>9</v>
      </c>
      <c r="B11" s="76">
        <v>46127</v>
      </c>
      <c r="C11" s="41" t="s">
        <v>122</v>
      </c>
      <c r="D11" s="154" t="s">
        <v>31</v>
      </c>
      <c r="E11" s="154" t="s">
        <v>123</v>
      </c>
      <c r="F11" s="154" t="s">
        <v>124</v>
      </c>
      <c r="G11" s="155">
        <v>30</v>
      </c>
      <c r="H11" s="38" t="s">
        <v>30</v>
      </c>
      <c r="I11" s="48">
        <v>940000</v>
      </c>
      <c r="J11" s="85">
        <f t="shared" si="0"/>
        <v>103400</v>
      </c>
      <c r="K11" s="85">
        <f t="shared" si="1"/>
        <v>1043400</v>
      </c>
      <c r="L11" s="85">
        <f t="shared" si="2"/>
        <v>31302000</v>
      </c>
      <c r="M11" s="48">
        <v>875000</v>
      </c>
      <c r="N11" s="85">
        <f t="shared" si="3"/>
        <v>96250</v>
      </c>
      <c r="O11" s="85">
        <f t="shared" si="4"/>
        <v>971250</v>
      </c>
      <c r="P11" s="85">
        <f t="shared" si="5"/>
        <v>29137500</v>
      </c>
      <c r="Q11" s="48">
        <v>790000</v>
      </c>
      <c r="R11" s="85">
        <f t="shared" si="6"/>
        <v>86900</v>
      </c>
      <c r="S11" s="85">
        <f t="shared" si="7"/>
        <v>876900</v>
      </c>
      <c r="T11" s="85">
        <f t="shared" si="8"/>
        <v>26307000</v>
      </c>
      <c r="U11" s="85">
        <v>0</v>
      </c>
      <c r="V11" s="85">
        <f t="shared" si="9"/>
        <v>85000</v>
      </c>
      <c r="W11" s="85">
        <f t="shared" si="10"/>
        <v>2550000</v>
      </c>
      <c r="X11" s="85">
        <v>5000</v>
      </c>
      <c r="Y11" s="85">
        <f t="shared" si="11"/>
        <v>150000</v>
      </c>
    </row>
    <row r="12" spans="1:177" s="20" customFormat="1" ht="21" customHeight="1">
      <c r="A12" s="139">
        <v>10</v>
      </c>
      <c r="B12" s="99">
        <v>46133</v>
      </c>
      <c r="C12" s="100" t="s">
        <v>34</v>
      </c>
      <c r="D12" s="101" t="s">
        <v>23</v>
      </c>
      <c r="E12" s="102" t="s">
        <v>29</v>
      </c>
      <c r="F12" s="97" t="s">
        <v>29</v>
      </c>
      <c r="G12" s="103">
        <v>250</v>
      </c>
      <c r="H12" s="38" t="s">
        <v>136</v>
      </c>
      <c r="I12" s="48">
        <v>536036</v>
      </c>
      <c r="J12" s="85">
        <f t="shared" si="0"/>
        <v>58963.96</v>
      </c>
      <c r="K12" s="85">
        <f t="shared" si="1"/>
        <v>594999.96</v>
      </c>
      <c r="L12" s="85">
        <f t="shared" si="2"/>
        <v>148749990</v>
      </c>
      <c r="M12" s="48">
        <v>450000</v>
      </c>
      <c r="N12" s="85">
        <f t="shared" si="3"/>
        <v>49500</v>
      </c>
      <c r="O12" s="85">
        <f t="shared" si="4"/>
        <v>499500</v>
      </c>
      <c r="P12" s="85">
        <f t="shared" si="5"/>
        <v>124875000</v>
      </c>
      <c r="Q12" s="48">
        <f>470000/1.11</f>
        <v>423423.42342342337</v>
      </c>
      <c r="R12" s="85">
        <f t="shared" si="6"/>
        <v>46576.576576576568</v>
      </c>
      <c r="S12" s="85">
        <f t="shared" si="7"/>
        <v>469999.99999999994</v>
      </c>
      <c r="T12" s="85">
        <f t="shared" si="8"/>
        <v>117499999.99999999</v>
      </c>
      <c r="U12" s="85">
        <f>(I12-M12)*G12</f>
        <v>21509000</v>
      </c>
      <c r="V12" s="85">
        <f t="shared" si="9"/>
        <v>26576.576576576626</v>
      </c>
      <c r="W12" s="85">
        <f>G12*V12</f>
        <v>6644144.1441441569</v>
      </c>
      <c r="X12" s="85">
        <v>5000</v>
      </c>
      <c r="Y12" s="85">
        <f t="shared" si="11"/>
        <v>1250000</v>
      </c>
    </row>
    <row r="13" spans="1:177" s="20" customFormat="1" ht="21" customHeight="1">
      <c r="A13" s="139">
        <v>11</v>
      </c>
      <c r="B13" s="99">
        <v>46133</v>
      </c>
      <c r="C13" s="100" t="s">
        <v>34</v>
      </c>
      <c r="D13" s="101" t="s">
        <v>23</v>
      </c>
      <c r="E13" s="102" t="s">
        <v>29</v>
      </c>
      <c r="F13" s="97" t="s">
        <v>29</v>
      </c>
      <c r="G13" s="155">
        <v>20</v>
      </c>
      <c r="H13" s="38" t="s">
        <v>136</v>
      </c>
      <c r="I13" s="48">
        <v>536036</v>
      </c>
      <c r="J13" s="85">
        <f t="shared" ref="J13:J18" si="12">I13*11%</f>
        <v>58963.96</v>
      </c>
      <c r="K13" s="85">
        <f t="shared" ref="K13:K18" si="13">I13+J13</f>
        <v>594999.96</v>
      </c>
      <c r="L13" s="85">
        <f t="shared" ref="L13:L18" si="14">K13*G13</f>
        <v>11899999.199999999</v>
      </c>
      <c r="M13" s="48">
        <v>370000</v>
      </c>
      <c r="N13" s="85">
        <f t="shared" ref="N13:N18" si="15">M13*11%</f>
        <v>40700</v>
      </c>
      <c r="O13" s="85">
        <f t="shared" ref="O13:O18" si="16">M13+N13</f>
        <v>410700</v>
      </c>
      <c r="P13" s="85">
        <f t="shared" ref="P13:P18" si="17">O13*G13</f>
        <v>8214000</v>
      </c>
      <c r="Q13" s="48">
        <f>380000/1.11</f>
        <v>342342.34234234231</v>
      </c>
      <c r="R13" s="85">
        <f t="shared" ref="R13:R18" si="18">Q13*11%</f>
        <v>37657.657657657655</v>
      </c>
      <c r="S13" s="85">
        <f t="shared" ref="S13:S18" si="19">Q13+R13</f>
        <v>379999.99999999994</v>
      </c>
      <c r="T13" s="85">
        <f t="shared" ref="T13:T18" si="20">S13*G13</f>
        <v>7599999.9999999991</v>
      </c>
      <c r="U13" s="85">
        <f>(I13-M13)*G13</f>
        <v>3320720</v>
      </c>
      <c r="V13" s="85">
        <f t="shared" ref="V13:V18" si="21">M13-Q13</f>
        <v>27657.657657657692</v>
      </c>
      <c r="W13" s="85">
        <f>G13*V13</f>
        <v>553153.15315315383</v>
      </c>
      <c r="X13" s="85">
        <v>5000</v>
      </c>
      <c r="Y13" s="85">
        <f t="shared" ref="Y13:Y18" si="22">G13*X13</f>
        <v>100000</v>
      </c>
    </row>
    <row r="14" spans="1:177" s="20" customFormat="1" ht="21" customHeight="1">
      <c r="A14" s="139">
        <v>12</v>
      </c>
      <c r="B14" s="76"/>
      <c r="C14" s="41"/>
      <c r="D14" s="154"/>
      <c r="E14" s="154"/>
      <c r="F14" s="154"/>
      <c r="G14" s="155"/>
      <c r="H14" s="38"/>
      <c r="I14" s="48"/>
      <c r="J14" s="85">
        <f t="shared" si="12"/>
        <v>0</v>
      </c>
      <c r="K14" s="85">
        <f t="shared" si="13"/>
        <v>0</v>
      </c>
      <c r="L14" s="85">
        <f t="shared" si="14"/>
        <v>0</v>
      </c>
      <c r="M14" s="48"/>
      <c r="N14" s="85">
        <f t="shared" si="15"/>
        <v>0</v>
      </c>
      <c r="O14" s="85">
        <f t="shared" si="16"/>
        <v>0</v>
      </c>
      <c r="P14" s="85">
        <f t="shared" si="17"/>
        <v>0</v>
      </c>
      <c r="Q14" s="48"/>
      <c r="R14" s="85">
        <f t="shared" si="18"/>
        <v>0</v>
      </c>
      <c r="S14" s="85">
        <f t="shared" si="19"/>
        <v>0</v>
      </c>
      <c r="T14" s="85">
        <f t="shared" si="20"/>
        <v>0</v>
      </c>
      <c r="U14" s="85">
        <v>0</v>
      </c>
      <c r="V14" s="85">
        <f t="shared" si="21"/>
        <v>0</v>
      </c>
      <c r="W14" s="85">
        <f t="shared" ref="W14:W18" si="23">G14*V14</f>
        <v>0</v>
      </c>
      <c r="X14" s="85">
        <v>0</v>
      </c>
      <c r="Y14" s="85">
        <f t="shared" si="22"/>
        <v>0</v>
      </c>
    </row>
    <row r="15" spans="1:177" s="20" customFormat="1" ht="21" customHeight="1">
      <c r="A15" s="139">
        <v>13</v>
      </c>
      <c r="B15" s="76"/>
      <c r="C15" s="41"/>
      <c r="D15" s="154"/>
      <c r="E15" s="154"/>
      <c r="F15" s="154"/>
      <c r="G15" s="155"/>
      <c r="H15" s="38"/>
      <c r="I15" s="48"/>
      <c r="J15" s="85">
        <f t="shared" si="12"/>
        <v>0</v>
      </c>
      <c r="K15" s="85">
        <f t="shared" si="13"/>
        <v>0</v>
      </c>
      <c r="L15" s="85">
        <f t="shared" si="14"/>
        <v>0</v>
      </c>
      <c r="M15" s="48"/>
      <c r="N15" s="85">
        <f t="shared" si="15"/>
        <v>0</v>
      </c>
      <c r="O15" s="85">
        <f t="shared" si="16"/>
        <v>0</v>
      </c>
      <c r="P15" s="85">
        <f t="shared" si="17"/>
        <v>0</v>
      </c>
      <c r="Q15" s="48"/>
      <c r="R15" s="85">
        <f t="shared" si="18"/>
        <v>0</v>
      </c>
      <c r="S15" s="85">
        <f t="shared" si="19"/>
        <v>0</v>
      </c>
      <c r="T15" s="85">
        <f t="shared" si="20"/>
        <v>0</v>
      </c>
      <c r="U15" s="85">
        <v>0</v>
      </c>
      <c r="V15" s="85">
        <f t="shared" si="21"/>
        <v>0</v>
      </c>
      <c r="W15" s="85">
        <f t="shared" si="23"/>
        <v>0</v>
      </c>
      <c r="X15" s="85">
        <v>0</v>
      </c>
      <c r="Y15" s="85">
        <f t="shared" si="22"/>
        <v>0</v>
      </c>
    </row>
    <row r="16" spans="1:177" s="20" customFormat="1" ht="21" customHeight="1">
      <c r="A16" s="139">
        <v>14</v>
      </c>
      <c r="B16" s="76"/>
      <c r="C16" s="41"/>
      <c r="D16" s="154"/>
      <c r="E16" s="154"/>
      <c r="F16" s="154"/>
      <c r="G16" s="155"/>
      <c r="H16" s="38"/>
      <c r="I16" s="157"/>
      <c r="J16" s="85">
        <f t="shared" si="12"/>
        <v>0</v>
      </c>
      <c r="K16" s="85">
        <f t="shared" si="13"/>
        <v>0</v>
      </c>
      <c r="L16" s="85">
        <f t="shared" si="14"/>
        <v>0</v>
      </c>
      <c r="M16" s="157"/>
      <c r="N16" s="85">
        <f t="shared" si="15"/>
        <v>0</v>
      </c>
      <c r="O16" s="85">
        <f t="shared" si="16"/>
        <v>0</v>
      </c>
      <c r="P16" s="85">
        <f t="shared" si="17"/>
        <v>0</v>
      </c>
      <c r="Q16" s="156"/>
      <c r="R16" s="85">
        <f t="shared" si="18"/>
        <v>0</v>
      </c>
      <c r="S16" s="85">
        <f t="shared" si="19"/>
        <v>0</v>
      </c>
      <c r="T16" s="85">
        <f t="shared" si="20"/>
        <v>0</v>
      </c>
      <c r="U16" s="85">
        <f t="shared" ref="U16:U18" si="24">G16*(I16-M16)</f>
        <v>0</v>
      </c>
      <c r="V16" s="85">
        <f t="shared" si="21"/>
        <v>0</v>
      </c>
      <c r="W16" s="85">
        <f t="shared" si="23"/>
        <v>0</v>
      </c>
      <c r="X16" s="85">
        <v>0</v>
      </c>
      <c r="Y16" s="85">
        <f t="shared" si="22"/>
        <v>0</v>
      </c>
    </row>
    <row r="17" spans="1:177" s="20" customFormat="1" ht="21" customHeight="1">
      <c r="A17" s="139">
        <v>15</v>
      </c>
      <c r="B17" s="76"/>
      <c r="C17" s="68"/>
      <c r="D17" s="69"/>
      <c r="E17" s="70"/>
      <c r="F17" s="70"/>
      <c r="G17" s="155"/>
      <c r="H17" s="38"/>
      <c r="I17" s="85"/>
      <c r="J17" s="85">
        <f t="shared" si="12"/>
        <v>0</v>
      </c>
      <c r="K17" s="85">
        <f t="shared" si="13"/>
        <v>0</v>
      </c>
      <c r="L17" s="85">
        <f t="shared" si="14"/>
        <v>0</v>
      </c>
      <c r="M17" s="85"/>
      <c r="N17" s="85">
        <f t="shared" si="15"/>
        <v>0</v>
      </c>
      <c r="O17" s="85">
        <f t="shared" si="16"/>
        <v>0</v>
      </c>
      <c r="P17" s="85">
        <f t="shared" si="17"/>
        <v>0</v>
      </c>
      <c r="Q17" s="156"/>
      <c r="R17" s="85">
        <f t="shared" si="18"/>
        <v>0</v>
      </c>
      <c r="S17" s="85">
        <f t="shared" si="19"/>
        <v>0</v>
      </c>
      <c r="T17" s="85">
        <f t="shared" si="20"/>
        <v>0</v>
      </c>
      <c r="U17" s="85">
        <f t="shared" si="24"/>
        <v>0</v>
      </c>
      <c r="V17" s="85">
        <f t="shared" si="21"/>
        <v>0</v>
      </c>
      <c r="W17" s="85">
        <f t="shared" si="23"/>
        <v>0</v>
      </c>
      <c r="X17" s="85">
        <v>0</v>
      </c>
      <c r="Y17" s="85">
        <f t="shared" si="22"/>
        <v>0</v>
      </c>
    </row>
    <row r="18" spans="1:177" s="20" customFormat="1" ht="21" customHeight="1">
      <c r="A18" s="139">
        <v>16</v>
      </c>
      <c r="B18" s="76"/>
      <c r="C18" s="68"/>
      <c r="D18" s="69"/>
      <c r="E18" s="70"/>
      <c r="F18" s="70"/>
      <c r="G18" s="155"/>
      <c r="H18" s="38"/>
      <c r="I18" s="85"/>
      <c r="J18" s="85">
        <f t="shared" si="12"/>
        <v>0</v>
      </c>
      <c r="K18" s="85">
        <f t="shared" si="13"/>
        <v>0</v>
      </c>
      <c r="L18" s="85">
        <f t="shared" si="14"/>
        <v>0</v>
      </c>
      <c r="M18" s="85"/>
      <c r="N18" s="85">
        <f t="shared" si="15"/>
        <v>0</v>
      </c>
      <c r="O18" s="85">
        <f t="shared" si="16"/>
        <v>0</v>
      </c>
      <c r="P18" s="85">
        <f t="shared" si="17"/>
        <v>0</v>
      </c>
      <c r="Q18" s="156"/>
      <c r="R18" s="85">
        <f t="shared" si="18"/>
        <v>0</v>
      </c>
      <c r="S18" s="85">
        <f t="shared" si="19"/>
        <v>0</v>
      </c>
      <c r="T18" s="85">
        <f t="shared" si="20"/>
        <v>0</v>
      </c>
      <c r="U18" s="85">
        <f t="shared" si="24"/>
        <v>0</v>
      </c>
      <c r="V18" s="85">
        <f t="shared" si="21"/>
        <v>0</v>
      </c>
      <c r="W18" s="85">
        <f t="shared" si="23"/>
        <v>0</v>
      </c>
      <c r="X18" s="85">
        <v>0</v>
      </c>
      <c r="Y18" s="85">
        <f t="shared" si="22"/>
        <v>0</v>
      </c>
    </row>
    <row r="19" spans="1:177" s="20" customFormat="1" ht="21" customHeight="1">
      <c r="A19" s="139">
        <v>17</v>
      </c>
      <c r="B19" s="76"/>
      <c r="C19" s="41"/>
      <c r="D19" s="154"/>
      <c r="E19" s="154"/>
      <c r="F19" s="71"/>
      <c r="G19" s="155"/>
      <c r="H19" s="38"/>
      <c r="I19" s="48"/>
      <c r="J19" s="85">
        <f t="shared" ref="J19:J24" si="25">I19*11%</f>
        <v>0</v>
      </c>
      <c r="K19" s="85">
        <f t="shared" ref="K19:K24" si="26">I19+J19</f>
        <v>0</v>
      </c>
      <c r="L19" s="85">
        <f t="shared" ref="L19:L24" si="27">K19*G19</f>
        <v>0</v>
      </c>
      <c r="M19" s="48"/>
      <c r="N19" s="85">
        <f t="shared" ref="N19:N24" si="28">M19*11%</f>
        <v>0</v>
      </c>
      <c r="O19" s="85">
        <f t="shared" ref="O19:O24" si="29">M19+N19</f>
        <v>0</v>
      </c>
      <c r="P19" s="85">
        <f t="shared" ref="P19:P24" si="30">O19*G19</f>
        <v>0</v>
      </c>
      <c r="Q19" s="141"/>
      <c r="R19" s="85">
        <f t="shared" ref="R19:R24" si="31">Q19*11%</f>
        <v>0</v>
      </c>
      <c r="S19" s="85">
        <f t="shared" ref="S19:S24" si="32">Q19+R19</f>
        <v>0</v>
      </c>
      <c r="T19" s="85">
        <f t="shared" ref="T19:T24" si="33">S19*G19</f>
        <v>0</v>
      </c>
      <c r="U19" s="85">
        <f>G19*(I19-M19)</f>
        <v>0</v>
      </c>
      <c r="V19" s="85">
        <f t="shared" ref="V19:V24" si="34">M19-Q19</f>
        <v>0</v>
      </c>
      <c r="W19" s="85">
        <f>G19*V19</f>
        <v>0</v>
      </c>
      <c r="X19" s="85">
        <v>0</v>
      </c>
      <c r="Y19" s="85">
        <f t="shared" ref="Y19:Y24" si="35">G19*X19</f>
        <v>0</v>
      </c>
    </row>
    <row r="20" spans="1:177" s="20" customFormat="1" ht="21" customHeight="1">
      <c r="A20" s="139">
        <v>18</v>
      </c>
      <c r="B20" s="76"/>
      <c r="C20" s="40"/>
      <c r="D20" s="154"/>
      <c r="E20" s="31"/>
      <c r="F20" s="31"/>
      <c r="G20" s="155"/>
      <c r="H20" s="38"/>
      <c r="I20" s="48"/>
      <c r="J20" s="85">
        <f t="shared" si="25"/>
        <v>0</v>
      </c>
      <c r="K20" s="85">
        <f t="shared" si="26"/>
        <v>0</v>
      </c>
      <c r="L20" s="85">
        <f t="shared" si="27"/>
        <v>0</v>
      </c>
      <c r="M20" s="48"/>
      <c r="N20" s="85">
        <f t="shared" si="28"/>
        <v>0</v>
      </c>
      <c r="O20" s="85">
        <f t="shared" si="29"/>
        <v>0</v>
      </c>
      <c r="P20" s="85">
        <f t="shared" si="30"/>
        <v>0</v>
      </c>
      <c r="Q20" s="156"/>
      <c r="R20" s="85">
        <f t="shared" si="31"/>
        <v>0</v>
      </c>
      <c r="S20" s="85">
        <f t="shared" si="32"/>
        <v>0</v>
      </c>
      <c r="T20" s="85">
        <f t="shared" si="33"/>
        <v>0</v>
      </c>
      <c r="U20" s="85">
        <f t="shared" ref="U20:U24" si="36">G20*(I20-M20)</f>
        <v>0</v>
      </c>
      <c r="V20" s="85">
        <f t="shared" si="34"/>
        <v>0</v>
      </c>
      <c r="W20" s="85">
        <f t="shared" ref="W20:W24" si="37">G20*V20</f>
        <v>0</v>
      </c>
      <c r="X20" s="85">
        <v>0</v>
      </c>
      <c r="Y20" s="85">
        <f t="shared" si="35"/>
        <v>0</v>
      </c>
    </row>
    <row r="21" spans="1:177" s="20" customFormat="1" ht="21" customHeight="1">
      <c r="A21" s="139">
        <v>19</v>
      </c>
      <c r="B21" s="76"/>
      <c r="C21" s="40"/>
      <c r="D21" s="154"/>
      <c r="E21" s="154"/>
      <c r="F21" s="154"/>
      <c r="G21" s="155"/>
      <c r="H21" s="38"/>
      <c r="I21" s="157"/>
      <c r="J21" s="85">
        <f t="shared" si="25"/>
        <v>0</v>
      </c>
      <c r="K21" s="85">
        <f t="shared" si="26"/>
        <v>0</v>
      </c>
      <c r="L21" s="85">
        <f t="shared" si="27"/>
        <v>0</v>
      </c>
      <c r="M21" s="157"/>
      <c r="N21" s="85">
        <f t="shared" si="28"/>
        <v>0</v>
      </c>
      <c r="O21" s="85">
        <f t="shared" si="29"/>
        <v>0</v>
      </c>
      <c r="P21" s="85">
        <f t="shared" si="30"/>
        <v>0</v>
      </c>
      <c r="Q21" s="156"/>
      <c r="R21" s="85">
        <f t="shared" si="31"/>
        <v>0</v>
      </c>
      <c r="S21" s="85">
        <f t="shared" si="32"/>
        <v>0</v>
      </c>
      <c r="T21" s="85">
        <f t="shared" si="33"/>
        <v>0</v>
      </c>
      <c r="U21" s="85">
        <f t="shared" si="36"/>
        <v>0</v>
      </c>
      <c r="V21" s="85">
        <f t="shared" si="34"/>
        <v>0</v>
      </c>
      <c r="W21" s="85">
        <f t="shared" si="37"/>
        <v>0</v>
      </c>
      <c r="X21" s="85">
        <v>0</v>
      </c>
      <c r="Y21" s="85">
        <f t="shared" si="35"/>
        <v>0</v>
      </c>
    </row>
    <row r="22" spans="1:177" s="20" customFormat="1" ht="21" customHeight="1">
      <c r="A22" s="139">
        <v>20</v>
      </c>
      <c r="B22" s="76"/>
      <c r="C22" s="40"/>
      <c r="D22" s="158"/>
      <c r="E22" s="154"/>
      <c r="F22" s="154"/>
      <c r="G22" s="155"/>
      <c r="H22" s="38"/>
      <c r="I22" s="157"/>
      <c r="J22" s="85">
        <f t="shared" si="25"/>
        <v>0</v>
      </c>
      <c r="K22" s="85">
        <f t="shared" si="26"/>
        <v>0</v>
      </c>
      <c r="L22" s="85">
        <f t="shared" si="27"/>
        <v>0</v>
      </c>
      <c r="M22" s="157"/>
      <c r="N22" s="85">
        <f t="shared" si="28"/>
        <v>0</v>
      </c>
      <c r="O22" s="85">
        <f t="shared" si="29"/>
        <v>0</v>
      </c>
      <c r="P22" s="85">
        <f t="shared" si="30"/>
        <v>0</v>
      </c>
      <c r="Q22" s="156"/>
      <c r="R22" s="85">
        <f t="shared" si="31"/>
        <v>0</v>
      </c>
      <c r="S22" s="85">
        <f t="shared" si="32"/>
        <v>0</v>
      </c>
      <c r="T22" s="85">
        <f t="shared" si="33"/>
        <v>0</v>
      </c>
      <c r="U22" s="85">
        <f t="shared" si="36"/>
        <v>0</v>
      </c>
      <c r="V22" s="85">
        <f t="shared" si="34"/>
        <v>0</v>
      </c>
      <c r="W22" s="85">
        <f t="shared" si="37"/>
        <v>0</v>
      </c>
      <c r="X22" s="85">
        <v>0</v>
      </c>
      <c r="Y22" s="85">
        <f t="shared" si="35"/>
        <v>0</v>
      </c>
    </row>
    <row r="23" spans="1:177" s="20" customFormat="1" ht="21" customHeight="1">
      <c r="A23" s="139">
        <v>21</v>
      </c>
      <c r="B23" s="76"/>
      <c r="C23" s="68"/>
      <c r="D23" s="69"/>
      <c r="E23" s="70"/>
      <c r="F23" s="70"/>
      <c r="G23" s="155"/>
      <c r="H23" s="38"/>
      <c r="I23" s="85"/>
      <c r="J23" s="85">
        <f t="shared" si="25"/>
        <v>0</v>
      </c>
      <c r="K23" s="85">
        <f t="shared" si="26"/>
        <v>0</v>
      </c>
      <c r="L23" s="85">
        <f t="shared" si="27"/>
        <v>0</v>
      </c>
      <c r="M23" s="85"/>
      <c r="N23" s="85">
        <f t="shared" si="28"/>
        <v>0</v>
      </c>
      <c r="O23" s="85">
        <f t="shared" si="29"/>
        <v>0</v>
      </c>
      <c r="P23" s="85">
        <f t="shared" si="30"/>
        <v>0</v>
      </c>
      <c r="Q23" s="156"/>
      <c r="R23" s="85">
        <f t="shared" si="31"/>
        <v>0</v>
      </c>
      <c r="S23" s="85">
        <f t="shared" si="32"/>
        <v>0</v>
      </c>
      <c r="T23" s="85">
        <f t="shared" si="33"/>
        <v>0</v>
      </c>
      <c r="U23" s="85">
        <f t="shared" si="36"/>
        <v>0</v>
      </c>
      <c r="V23" s="85">
        <f t="shared" si="34"/>
        <v>0</v>
      </c>
      <c r="W23" s="85">
        <f t="shared" si="37"/>
        <v>0</v>
      </c>
      <c r="X23" s="85">
        <v>0</v>
      </c>
      <c r="Y23" s="85">
        <f t="shared" si="35"/>
        <v>0</v>
      </c>
    </row>
    <row r="24" spans="1:177" s="20" customFormat="1" ht="21" customHeight="1">
      <c r="A24" s="139">
        <v>22</v>
      </c>
      <c r="B24" s="76"/>
      <c r="C24" s="68"/>
      <c r="D24" s="69"/>
      <c r="E24" s="70"/>
      <c r="F24" s="70"/>
      <c r="G24" s="155"/>
      <c r="H24" s="38"/>
      <c r="I24" s="85"/>
      <c r="J24" s="85">
        <f t="shared" si="25"/>
        <v>0</v>
      </c>
      <c r="K24" s="85">
        <f t="shared" si="26"/>
        <v>0</v>
      </c>
      <c r="L24" s="85">
        <f t="shared" si="27"/>
        <v>0</v>
      </c>
      <c r="M24" s="85"/>
      <c r="N24" s="85">
        <f t="shared" si="28"/>
        <v>0</v>
      </c>
      <c r="O24" s="85">
        <f t="shared" si="29"/>
        <v>0</v>
      </c>
      <c r="P24" s="85">
        <f t="shared" si="30"/>
        <v>0</v>
      </c>
      <c r="Q24" s="156"/>
      <c r="R24" s="85">
        <f t="shared" si="31"/>
        <v>0</v>
      </c>
      <c r="S24" s="85">
        <f t="shared" si="32"/>
        <v>0</v>
      </c>
      <c r="T24" s="85">
        <f t="shared" si="33"/>
        <v>0</v>
      </c>
      <c r="U24" s="85">
        <f t="shared" si="36"/>
        <v>0</v>
      </c>
      <c r="V24" s="85">
        <f t="shared" si="34"/>
        <v>0</v>
      </c>
      <c r="W24" s="85">
        <f t="shared" si="37"/>
        <v>0</v>
      </c>
      <c r="X24" s="85">
        <v>0</v>
      </c>
      <c r="Y24" s="85">
        <f t="shared" si="35"/>
        <v>0</v>
      </c>
    </row>
    <row r="25" spans="1:177" s="20" customFormat="1" ht="21" customHeight="1">
      <c r="A25" s="139"/>
      <c r="B25" s="68"/>
      <c r="C25" s="68"/>
      <c r="D25" s="159"/>
      <c r="E25" s="71"/>
      <c r="F25" s="71"/>
      <c r="G25" s="155"/>
      <c r="H25" s="38"/>
      <c r="I25" s="156"/>
      <c r="J25" s="85"/>
      <c r="K25" s="85"/>
      <c r="L25" s="85"/>
      <c r="M25" s="156"/>
      <c r="N25" s="85"/>
      <c r="O25" s="85"/>
      <c r="P25" s="85"/>
      <c r="Q25" s="156"/>
      <c r="R25" s="85"/>
      <c r="S25" s="85"/>
      <c r="T25" s="85"/>
      <c r="U25" s="85"/>
      <c r="V25" s="85"/>
      <c r="W25" s="85"/>
      <c r="X25" s="85"/>
      <c r="Y25" s="85"/>
    </row>
    <row r="26" spans="1:177" s="20" customFormat="1" ht="21" customHeight="1" thickBot="1">
      <c r="A26" s="139"/>
      <c r="B26" s="68"/>
      <c r="C26" s="68"/>
      <c r="D26" s="159"/>
      <c r="E26" s="71"/>
      <c r="F26" s="71"/>
      <c r="G26" s="155"/>
      <c r="H26" s="38"/>
      <c r="I26" s="156"/>
      <c r="J26" s="85"/>
      <c r="K26" s="85"/>
      <c r="L26" s="85"/>
      <c r="M26" s="156"/>
      <c r="N26" s="85"/>
      <c r="O26" s="85"/>
      <c r="P26" s="85"/>
      <c r="Q26" s="156"/>
      <c r="R26" s="85"/>
      <c r="S26" s="85"/>
      <c r="T26" s="85"/>
      <c r="U26" s="85"/>
      <c r="V26" s="85"/>
      <c r="W26" s="85"/>
      <c r="X26" s="85"/>
      <c r="Y26" s="85"/>
    </row>
    <row r="27" spans="1:177" s="163" customFormat="1" ht="21" customHeight="1" thickBot="1">
      <c r="A27" s="160"/>
      <c r="B27" s="137" t="s">
        <v>11</v>
      </c>
      <c r="C27" s="137"/>
      <c r="D27" s="43"/>
      <c r="E27" s="44"/>
      <c r="F27" s="44"/>
      <c r="G27" s="138">
        <f>SUM(G3:G26)</f>
        <v>358</v>
      </c>
      <c r="H27" s="81"/>
      <c r="I27" s="161"/>
      <c r="J27" s="82"/>
      <c r="K27" s="82"/>
      <c r="L27" s="82">
        <f>SUM(L3:L26)</f>
        <v>289165789.19999999</v>
      </c>
      <c r="M27" s="161"/>
      <c r="N27" s="82"/>
      <c r="O27" s="82"/>
      <c r="P27" s="82">
        <f>SUM(P3:P26)</f>
        <v>249195000</v>
      </c>
      <c r="Q27" s="161"/>
      <c r="R27" s="82"/>
      <c r="S27" s="82"/>
      <c r="T27" s="82">
        <f>SUM(T3:T26)</f>
        <v>229384500</v>
      </c>
      <c r="U27" s="82">
        <f>SUM(U3:U26)</f>
        <v>24829720</v>
      </c>
      <c r="V27" s="82"/>
      <c r="W27" s="82">
        <f>SUM(W3:W26)</f>
        <v>17847297.29729731</v>
      </c>
      <c r="X27" s="83">
        <f>W27/G27</f>
        <v>49852.785746640533</v>
      </c>
      <c r="Y27" s="80">
        <f>SUM(Y3:Y26)</f>
        <v>1790000</v>
      </c>
      <c r="Z27" s="20"/>
      <c r="AA27" s="162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</row>
    <row r="28" spans="1:177" s="62" customFormat="1" ht="43.2" customHeight="1">
      <c r="A28" s="73"/>
      <c r="B28" s="65"/>
      <c r="C28" s="65"/>
      <c r="D28" s="65"/>
      <c r="E28" s="65" t="s">
        <v>3</v>
      </c>
      <c r="F28" s="89" t="s">
        <v>3</v>
      </c>
      <c r="G28" s="84" t="e">
        <f>MALANG!G15+GEMPOL!G37+#REF!+KEDIRI!G55+MANUKAN!G25+'PLANT LAIN-LAIN'!G27</f>
        <v>#REF!</v>
      </c>
      <c r="H28" s="63" t="s">
        <v>11</v>
      </c>
      <c r="I28" s="64" t="s">
        <v>3</v>
      </c>
      <c r="J28" s="64" t="s">
        <v>3</v>
      </c>
      <c r="K28" s="64" t="s">
        <v>3</v>
      </c>
      <c r="L28" s="86" t="e">
        <f>MALANG!L15+GEMPOL!L37+#REF!+KEDIRI!L55+MANUKAN!L25+'PLANT LAIN-LAIN'!L27</f>
        <v>#REF!</v>
      </c>
      <c r="M28" s="64" t="s">
        <v>3</v>
      </c>
      <c r="N28" s="67">
        <f>SUBTOTAL(9,N26:N27)</f>
        <v>0</v>
      </c>
      <c r="O28" s="64" t="s">
        <v>3</v>
      </c>
      <c r="P28" s="88" t="e">
        <f>MALANG!P15+GEMPOL!P37+#REF!+KEDIRI!P55+MANUKAN!P25+'PLANT LAIN-LAIN'!P27</f>
        <v>#REF!</v>
      </c>
      <c r="Q28" s="64" t="s">
        <v>3</v>
      </c>
      <c r="R28" s="67">
        <f>SUM(R26:R26)</f>
        <v>0</v>
      </c>
      <c r="S28" s="67">
        <f>SUBTOTAL(9,S26:S27)</f>
        <v>0</v>
      </c>
      <c r="T28" s="61" t="e">
        <f>MALANG!T15+GEMPOL!T37+#REF!+KEDIRI!T55+MANUKAN!T25+'PLANT LAIN-LAIN'!T27</f>
        <v>#REF!</v>
      </c>
      <c r="U28" s="66"/>
      <c r="V28" s="66"/>
      <c r="W28" s="61" t="e">
        <f>MALANG!W15+GEMPOL!W37+#REF!+KEDIRI!W55+MANUKAN!W25+'PLANT LAIN-LAIN'!W27</f>
        <v>#REF!</v>
      </c>
      <c r="X28" s="87" t="e">
        <f>W28/G28</f>
        <v>#REF!</v>
      </c>
      <c r="Y28" s="64"/>
    </row>
    <row r="29" spans="1:177" s="4" customFormat="1">
      <c r="A29" s="74"/>
      <c r="B29" s="1"/>
      <c r="C29" s="1"/>
      <c r="D29" s="1"/>
      <c r="F29" s="18"/>
      <c r="Q29" s="16"/>
      <c r="S29" s="15"/>
    </row>
    <row r="30" spans="1:177" s="4" customFormat="1">
      <c r="A30" s="74"/>
      <c r="B30" s="1"/>
      <c r="C30" s="1"/>
      <c r="D30" s="1"/>
      <c r="F30" s="18"/>
      <c r="Q30" s="16"/>
      <c r="S30" s="15"/>
    </row>
    <row r="31" spans="1:177" s="4" customFormat="1">
      <c r="A31" s="74"/>
      <c r="B31" s="1"/>
      <c r="C31" s="1"/>
      <c r="D31" s="1"/>
      <c r="F31" s="18"/>
      <c r="Q31" s="16"/>
      <c r="S31" s="15"/>
    </row>
    <row r="32" spans="1:177" s="4" customFormat="1">
      <c r="A32" s="74"/>
      <c r="B32" s="1"/>
      <c r="C32" s="1"/>
      <c r="D32" s="1"/>
      <c r="F32" s="18"/>
      <c r="Q32" s="16"/>
      <c r="S32" s="15"/>
    </row>
    <row r="33" spans="1:17" s="4" customFormat="1">
      <c r="A33" s="74"/>
      <c r="B33" s="1"/>
      <c r="C33" s="1"/>
      <c r="D33" s="1"/>
      <c r="Q33" s="17"/>
    </row>
    <row r="34" spans="1:17" s="4" customFormat="1">
      <c r="A34" s="74"/>
      <c r="B34" s="1"/>
      <c r="C34" s="1"/>
      <c r="D34" s="1"/>
    </row>
    <row r="35" spans="1:17" s="4" customFormat="1">
      <c r="A35" s="74"/>
      <c r="B35" s="1"/>
      <c r="C35" s="1"/>
      <c r="D35" s="1"/>
    </row>
    <row r="36" spans="1:17" s="4" customFormat="1">
      <c r="A36" s="74"/>
      <c r="B36" s="1"/>
      <c r="C36" s="1"/>
      <c r="D36" s="1"/>
    </row>
    <row r="37" spans="1:17" s="4" customFormat="1">
      <c r="A37" s="74"/>
      <c r="B37" s="1"/>
      <c r="C37" s="1"/>
      <c r="D37" s="1"/>
    </row>
    <row r="38" spans="1:17" s="4" customFormat="1">
      <c r="A38" s="74"/>
      <c r="B38" s="1"/>
      <c r="C38" s="1"/>
      <c r="D38" s="1"/>
    </row>
    <row r="39" spans="1:17">
      <c r="A39" s="74"/>
      <c r="B39" s="1"/>
    </row>
  </sheetData>
  <autoFilter ref="A2:Y24" xr:uid="{00000000-0001-0000-0500-000000000000}"/>
  <mergeCells count="1">
    <mergeCell ref="A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MALANG</vt:lpstr>
      <vt:lpstr>GEMPOL</vt:lpstr>
      <vt:lpstr>KEDIRI</vt:lpstr>
      <vt:lpstr>MANUKAN</vt:lpstr>
      <vt:lpstr>PLANT LAIN-LAIN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Ninna</dc:creator>
  <cp:lastModifiedBy>mirashelvia PG</cp:lastModifiedBy>
  <cp:lastPrinted>2026-05-20T06:49:56Z</cp:lastPrinted>
  <dcterms:created xsi:type="dcterms:W3CDTF">2017-12-09T16:25:00Z</dcterms:created>
  <dcterms:modified xsi:type="dcterms:W3CDTF">2026-06-21T03:13:24Z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CA4249F250944038AB1458A4F042903D</vt:lpwstr>
  </property>
  <property fmtid="{D5CDD505-2E9C-101B-9397-08002B2CF9AE}" pid="3" name="KSOProductBuildVer">
    <vt:lpwstr>1033-11.2.0.10463</vt:lpwstr>
  </property>
</Properties>
</file>